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stanccsp-my.sharepoint.com/personal/roman_hanmamedov_estanc_ee/Documents/Documents/"/>
    </mc:Choice>
  </mc:AlternateContent>
  <xr:revisionPtr revIDLastSave="0" documentId="8_{F53F36EB-E61A-444E-9BE5-5101F2629C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" sheetId="1" r:id="rId1"/>
    <sheet name="Legend" sheetId="2" r:id="rId2"/>
    <sheet name="Tehniline" sheetId="3" state="hidden" r:id="rId3"/>
  </sheets>
  <definedNames>
    <definedName name="_xlnm._FilterDatabase" localSheetId="0" hidden="1">Tabel!$A$1:$T$165</definedName>
  </definedNames>
  <calcPr calcId="191028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5" i="1" l="1"/>
  <c r="C155" i="1"/>
  <c r="N154" i="1"/>
  <c r="C154" i="1"/>
  <c r="N153" i="1"/>
  <c r="C153" i="1"/>
  <c r="N152" i="1"/>
  <c r="C152" i="1"/>
  <c r="N151" i="1"/>
  <c r="C151" i="1"/>
  <c r="N150" i="1"/>
  <c r="C150" i="1"/>
  <c r="N149" i="1"/>
  <c r="C149" i="1"/>
  <c r="N148" i="1"/>
  <c r="C148" i="1"/>
  <c r="N147" i="1"/>
  <c r="C147" i="1"/>
  <c r="N146" i="1"/>
  <c r="C146" i="1"/>
  <c r="N145" i="1"/>
  <c r="C145" i="1"/>
  <c r="N144" i="1"/>
  <c r="C144" i="1"/>
  <c r="N143" i="1"/>
  <c r="C143" i="1"/>
  <c r="N142" i="1"/>
  <c r="C142" i="1"/>
  <c r="N141" i="1"/>
  <c r="C141" i="1"/>
  <c r="N115" i="1"/>
  <c r="C115" i="1"/>
  <c r="N118" i="1"/>
  <c r="C118" i="1"/>
  <c r="N124" i="1"/>
  <c r="C124" i="1"/>
  <c r="N116" i="1"/>
  <c r="C116" i="1"/>
  <c r="N114" i="1"/>
  <c r="C114" i="1"/>
  <c r="N120" i="1"/>
  <c r="C120" i="1"/>
  <c r="N119" i="1"/>
  <c r="C119" i="1"/>
  <c r="N101" i="1"/>
  <c r="C101" i="1"/>
  <c r="N112" i="1"/>
  <c r="C112" i="1"/>
  <c r="N102" i="1"/>
  <c r="C102" i="1"/>
  <c r="N96" i="1"/>
  <c r="C96" i="1"/>
  <c r="N72" i="1"/>
  <c r="C72" i="1"/>
  <c r="N135" i="1"/>
  <c r="C135" i="1"/>
  <c r="N134" i="1"/>
  <c r="C134" i="1"/>
  <c r="N133" i="1"/>
  <c r="C133" i="1"/>
  <c r="N132" i="1"/>
  <c r="C132" i="1"/>
  <c r="N131" i="1"/>
  <c r="C131" i="1"/>
  <c r="N130" i="1"/>
  <c r="C130" i="1"/>
  <c r="N129" i="1"/>
  <c r="C129" i="1"/>
  <c r="N128" i="1"/>
  <c r="C128" i="1"/>
  <c r="N127" i="1"/>
  <c r="C127" i="1"/>
  <c r="N126" i="1"/>
  <c r="C126" i="1"/>
  <c r="C73" i="1"/>
  <c r="N106" i="1"/>
  <c r="C106" i="1"/>
  <c r="N88" i="1"/>
  <c r="C88" i="1"/>
  <c r="N123" i="1"/>
  <c r="C123" i="1"/>
  <c r="N125" i="1"/>
  <c r="C125" i="1"/>
  <c r="N104" i="1"/>
  <c r="N18" i="1"/>
  <c r="N10" i="1"/>
  <c r="N11" i="1"/>
  <c r="N12" i="1"/>
  <c r="N13" i="1"/>
  <c r="N19" i="1"/>
  <c r="N20" i="1"/>
  <c r="N91" i="1"/>
  <c r="N40" i="1"/>
  <c r="N33" i="1"/>
  <c r="N34" i="1"/>
  <c r="N76" i="1"/>
  <c r="N63" i="1"/>
  <c r="N77" i="1"/>
  <c r="N69" i="1"/>
  <c r="N78" i="1"/>
  <c r="N74" i="1"/>
  <c r="N87" i="1"/>
  <c r="N56" i="1"/>
  <c r="N65" i="1"/>
  <c r="N89" i="1"/>
  <c r="N79" i="1"/>
  <c r="N80" i="1"/>
  <c r="N109" i="1"/>
  <c r="N117" i="1"/>
  <c r="N111" i="1"/>
  <c r="N121" i="1"/>
  <c r="N122" i="1"/>
  <c r="N81" i="1"/>
  <c r="N83" i="1"/>
  <c r="N84" i="1"/>
  <c r="N82" i="1"/>
  <c r="N85" i="1"/>
  <c r="N86" i="1"/>
  <c r="N100" i="1"/>
  <c r="N105" i="1"/>
  <c r="N98" i="1"/>
  <c r="N107" i="1"/>
  <c r="N110" i="1"/>
  <c r="N90" i="1"/>
  <c r="N108" i="1"/>
  <c r="N113" i="1"/>
  <c r="N138" i="1"/>
  <c r="N139" i="1"/>
  <c r="N92" i="1"/>
  <c r="N93" i="1"/>
  <c r="N97" i="1"/>
  <c r="N99" i="1"/>
  <c r="N94" i="1"/>
  <c r="N95" i="1"/>
  <c r="N136" i="1"/>
  <c r="N137" i="1"/>
  <c r="N140" i="1"/>
  <c r="N156" i="1"/>
  <c r="N157" i="1"/>
  <c r="N158" i="1"/>
  <c r="N159" i="1"/>
  <c r="N160" i="1"/>
  <c r="N161" i="1"/>
  <c r="N162" i="1"/>
  <c r="N163" i="1"/>
  <c r="N164" i="1"/>
  <c r="N165" i="1"/>
  <c r="C91" i="1"/>
  <c r="C50" i="1"/>
  <c r="C70" i="1"/>
  <c r="C76" i="1"/>
  <c r="C63" i="1"/>
  <c r="C67" i="1"/>
  <c r="C77" i="1"/>
  <c r="C69" i="1"/>
  <c r="C78" i="1"/>
  <c r="C74" i="1"/>
  <c r="C87" i="1"/>
  <c r="C56" i="1"/>
  <c r="C65" i="1"/>
  <c r="C89" i="1"/>
  <c r="C79" i="1"/>
  <c r="C80" i="1"/>
  <c r="C109" i="1"/>
  <c r="C117" i="1"/>
  <c r="C111" i="1"/>
  <c r="C121" i="1"/>
  <c r="C122" i="1"/>
  <c r="C81" i="1"/>
  <c r="C83" i="1"/>
  <c r="C84" i="1"/>
  <c r="C82" i="1"/>
  <c r="C85" i="1"/>
  <c r="C86" i="1"/>
  <c r="C100" i="1"/>
  <c r="C98" i="1"/>
  <c r="C107" i="1"/>
  <c r="C110" i="1"/>
  <c r="C90" i="1"/>
  <c r="C108" i="1"/>
  <c r="C113" i="1"/>
  <c r="C138" i="1"/>
  <c r="C139" i="1"/>
  <c r="C92" i="1"/>
  <c r="C93" i="1"/>
  <c r="C97" i="1"/>
  <c r="C99" i="1"/>
  <c r="C94" i="1"/>
  <c r="C95" i="1"/>
  <c r="C136" i="1"/>
  <c r="C137" i="1"/>
  <c r="C140" i="1"/>
  <c r="C156" i="1"/>
  <c r="C157" i="1"/>
  <c r="C158" i="1"/>
  <c r="C159" i="1"/>
  <c r="C160" i="1"/>
  <c r="C161" i="1"/>
  <c r="C162" i="1"/>
  <c r="C163" i="1"/>
  <c r="C164" i="1"/>
  <c r="C165" i="1"/>
  <c r="A1" i="3"/>
  <c r="C9" i="1"/>
  <c r="N9" i="1"/>
  <c r="C32" i="1"/>
  <c r="C35" i="1"/>
  <c r="C36" i="1"/>
  <c r="N36" i="1"/>
  <c r="C38" i="1"/>
  <c r="N38" i="1"/>
  <c r="C39" i="1"/>
  <c r="N39" i="1"/>
  <c r="C41" i="1"/>
  <c r="N41" i="1"/>
  <c r="C42" i="1"/>
  <c r="N42" i="1"/>
  <c r="C44" i="1"/>
  <c r="N44" i="1"/>
  <c r="C45" i="1"/>
  <c r="N45" i="1"/>
  <c r="C47" i="1"/>
  <c r="N47" i="1"/>
  <c r="C49" i="1"/>
  <c r="N49" i="1"/>
  <c r="N50" i="1"/>
  <c r="C51" i="1"/>
  <c r="N51" i="1"/>
  <c r="C52" i="1"/>
  <c r="N52" i="1"/>
  <c r="C54" i="1"/>
  <c r="N54" i="1"/>
  <c r="C55" i="1"/>
  <c r="N55" i="1"/>
  <c r="C57" i="1"/>
  <c r="N57" i="1"/>
  <c r="C58" i="1"/>
  <c r="N58" i="1"/>
  <c r="C59" i="1"/>
  <c r="N59" i="1"/>
  <c r="C60" i="1"/>
  <c r="N60" i="1"/>
  <c r="C61" i="1"/>
  <c r="N61" i="1"/>
  <c r="C62" i="1"/>
  <c r="N62" i="1"/>
  <c r="C64" i="1"/>
  <c r="N64" i="1"/>
  <c r="N67" i="1"/>
  <c r="C68" i="1"/>
  <c r="N68" i="1"/>
  <c r="N70" i="1"/>
  <c r="C71" i="1"/>
  <c r="N71" i="1"/>
  <c r="N73" i="1"/>
  <c r="C75" i="1"/>
  <c r="N75" i="1"/>
  <c r="C103" i="1"/>
  <c r="N103" i="1"/>
  <c r="C10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Gerasimjak, Alik</author>
  </authors>
  <commentList>
    <comment ref="S1" authorId="0" shapeId="0" xr:uid="{8DE070B8-3654-4ABA-B617-27B8D8E7A931}">
      <text>
        <r>
          <rPr>
            <b/>
            <sz val="9"/>
            <color indexed="81"/>
            <rFont val="Tahoma"/>
            <family val="2"/>
            <charset val="186"/>
          </rPr>
          <t>Gerasimjak, Alik:</t>
        </r>
        <r>
          <rPr>
            <sz val="9"/>
            <color indexed="81"/>
            <rFont val="Tahoma"/>
            <family val="2"/>
            <charset val="186"/>
          </rPr>
          <t xml:space="preserve">
Täidetakse kui tehakse allhankes</t>
        </r>
      </text>
    </comment>
    <comment ref="T1" authorId="0" shapeId="0" xr:uid="{2B98EA56-FD50-4C38-9438-9C0C9A2300F3}">
      <text>
        <r>
          <rPr>
            <b/>
            <sz val="9"/>
            <color indexed="81"/>
            <rFont val="Tahoma"/>
            <family val="2"/>
            <charset val="186"/>
          </rPr>
          <t>Gerasimjak, Alik:</t>
        </r>
        <r>
          <rPr>
            <sz val="9"/>
            <color indexed="81"/>
            <rFont val="Tahoma"/>
            <family val="2"/>
            <charset val="186"/>
          </rPr>
          <t xml:space="preserve">
Täidetakse kui tehakse allhankes</t>
        </r>
      </text>
    </comment>
    <comment ref="G67" authorId="0" shapeId="0" xr:uid="{E62CA686-E412-4923-9975-1F8577838EE7}">
      <text>
        <r>
          <rPr>
            <b/>
            <sz val="9"/>
            <color indexed="81"/>
            <rFont val="Tahoma"/>
            <charset val="1"/>
          </rPr>
          <t>Gerasimjak, Alik:</t>
        </r>
        <r>
          <rPr>
            <sz val="9"/>
            <color indexed="81"/>
            <rFont val="Tahoma"/>
            <charset val="1"/>
          </rPr>
          <t xml:space="preserve">
лазер 90€/tk(качество не устраивает), сверловка примерно 180€/tk., вода 503€/tk.</t>
        </r>
      </text>
    </comment>
    <comment ref="G89" authorId="0" shapeId="0" xr:uid="{36B9B064-9FD9-4FCB-9C6A-B4DC51330AAA}">
      <text>
        <r>
          <rPr>
            <b/>
            <sz val="9"/>
            <color indexed="81"/>
            <rFont val="Tahoma"/>
            <charset val="1"/>
          </rPr>
          <t>Gerasimjak, Alik:</t>
        </r>
        <r>
          <rPr>
            <sz val="9"/>
            <color indexed="81"/>
            <rFont val="Tahoma"/>
            <charset val="1"/>
          </rPr>
          <t xml:space="preserve">
лазер 90€/tk(качество не устраивает), сверловка примерно 180€/tk., вода 503€/tk.</t>
        </r>
      </text>
    </comment>
    <comment ref="G109" authorId="0" shapeId="0" xr:uid="{3F0E8E8B-F068-4C7D-9196-B61F2913D8DC}">
      <text>
        <r>
          <rPr>
            <b/>
            <sz val="9"/>
            <color indexed="81"/>
            <rFont val="Tahoma"/>
            <charset val="1"/>
          </rPr>
          <t>Gerasimjak, Alik:</t>
        </r>
        <r>
          <rPr>
            <sz val="9"/>
            <color indexed="81"/>
            <rFont val="Tahoma"/>
            <charset val="1"/>
          </rPr>
          <t xml:space="preserve">
лазер 90€/tk(качество не устраивает), сверловка примерно 180€/tk., вода 503€/tk.</t>
        </r>
      </text>
    </comment>
  </commentList>
</comments>
</file>

<file path=xl/sharedStrings.xml><?xml version="1.0" encoding="utf-8"?>
<sst xmlns="http://schemas.openxmlformats.org/spreadsheetml/2006/main" count="699" uniqueCount="262">
  <si>
    <t>Töö Nr</t>
  </si>
  <si>
    <t>Valmis</t>
  </si>
  <si>
    <t>Valmis kpv</t>
  </si>
  <si>
    <t>Info sisestamise kuupäev</t>
  </si>
  <si>
    <t>Tegevuse sisestaja nimi</t>
  </si>
  <si>
    <t>Detaili/koostu nimetus või joonise Nr</t>
  </si>
  <si>
    <t>Kommentaar(tooriku/detaili seis, muu oluline info)</t>
  </si>
  <si>
    <t>Otsuse/Tegevuse vastutaja</t>
  </si>
  <si>
    <t>Tooriku saabumise kuupäev EE</t>
  </si>
  <si>
    <t xml:space="preserve"> EE vajaduse kuupäev (koostamiseks valmis kujul)</t>
  </si>
  <si>
    <t>Meeldetuletus  X päeva ennem</t>
  </si>
  <si>
    <t>Töötluse algus</t>
  </si>
  <si>
    <t>Alustatud</t>
  </si>
  <si>
    <t>Alustamise kpv</t>
  </si>
  <si>
    <t>EE töötluse lõpp</t>
  </si>
  <si>
    <t>Töötlus Lõpetatud</t>
  </si>
  <si>
    <t>Täitmise koht</t>
  </si>
  <si>
    <t>EE kuupäev tarne</t>
  </si>
  <si>
    <t>TE kuupäev tarne</t>
  </si>
  <si>
    <t>w2501201</t>
  </si>
  <si>
    <t>Roman</t>
  </si>
  <si>
    <t xml:space="preserve">kamber  </t>
  </si>
  <si>
    <t>Karusell</t>
  </si>
  <si>
    <t>w2503102</t>
  </si>
  <si>
    <t>äärikud</t>
  </si>
  <si>
    <t>w2503103</t>
  </si>
  <si>
    <t>W2503103</t>
  </si>
  <si>
    <t>EST-A19756_r01_LOWER BLIND FLANGE</t>
  </si>
  <si>
    <t>kohal</t>
  </si>
  <si>
    <t>W2503101</t>
  </si>
  <si>
    <t>Dmitri</t>
  </si>
  <si>
    <t>Vaheseinte parandus</t>
  </si>
  <si>
    <t>Tos</t>
  </si>
  <si>
    <t>w2502206</t>
  </si>
  <si>
    <t>EST-A19080_02_Agitator blind flange</t>
  </si>
  <si>
    <t>W2503201</t>
  </si>
  <si>
    <t>EST-A20346 N5</t>
  </si>
  <si>
    <t>w2502701</t>
  </si>
  <si>
    <t>Väiksed detailid</t>
  </si>
  <si>
    <t>w2502401</t>
  </si>
  <si>
    <t>EST-P98254_00_LOWER TUBESHEET</t>
  </si>
  <si>
    <t>Q25034</t>
  </si>
  <si>
    <t>Alik</t>
  </si>
  <si>
    <t>Joonis väljastatud 10.02.2026</t>
  </si>
  <si>
    <t>Tandix</t>
  </si>
  <si>
    <t>Q26003</t>
  </si>
  <si>
    <t>EST-A20576 | REV 01 | TUBE WELDING TEST PLATE</t>
  </si>
  <si>
    <t>Joonis väljastatud 12.02.26</t>
  </si>
  <si>
    <t>Q26002</t>
  </si>
  <si>
    <t>saadetud allhanke</t>
  </si>
  <si>
    <t>Q26004</t>
  </si>
  <si>
    <t xml:space="preserve">saadetud allhanke joonis 13.02.2026 EST-A21038 | REV 00 | TUBE WELDING TEST PLATE | </t>
  </si>
  <si>
    <t>Q26005</t>
  </si>
  <si>
    <t>W2502701</t>
  </si>
  <si>
    <t>EST-A03395 DISC</t>
  </si>
  <si>
    <t>Multimill OÜ</t>
  </si>
  <si>
    <t>EST-A03396_02_FLANGED SHAFT</t>
  </si>
  <si>
    <t>LDS Metall</t>
  </si>
  <si>
    <t>Q25025</t>
  </si>
  <si>
    <t>Forging Pre-Machined Square SA350LF2 200x200x50</t>
  </si>
  <si>
    <t xml:space="preserve"> Joonis väljastatud 10.02.2026</t>
  </si>
  <si>
    <t>Q25026</t>
  </si>
  <si>
    <t>W2502601</t>
  </si>
  <si>
    <t>EST-P100038 TUBESHEET LEFT SIDE</t>
  </si>
  <si>
    <r>
      <t xml:space="preserve">torude tarne ca 17-18.02 </t>
    </r>
    <r>
      <rPr>
        <strike/>
        <sz val="11"/>
        <color theme="1"/>
        <rFont val="Calibri"/>
        <family val="2"/>
        <charset val="186"/>
        <scheme val="minor"/>
      </rPr>
      <t xml:space="preserve"> (torud valmis, kui maksame siis tarnitakse)</t>
    </r>
  </si>
  <si>
    <t>Karusel</t>
  </si>
  <si>
    <t>w2102404</t>
  </si>
  <si>
    <t>deaerator</t>
  </si>
  <si>
    <t>TOS</t>
  </si>
  <si>
    <t>Kaante töötlus (ümbertegemine)</t>
  </si>
  <si>
    <t>na</t>
  </si>
  <si>
    <t>deaeratori kaelus</t>
  </si>
  <si>
    <t>Spiraal ümbertöötlus</t>
  </si>
  <si>
    <t>w2502301</t>
  </si>
  <si>
    <t>vaheseinad</t>
  </si>
  <si>
    <t>joonis väljastatud</t>
  </si>
  <si>
    <t>w2503101</t>
  </si>
  <si>
    <t>kambrid</t>
  </si>
  <si>
    <t>karusel</t>
  </si>
  <si>
    <t>kambrid EST-A19727, EST-A19726</t>
  </si>
  <si>
    <t>kamber EST-A19740</t>
  </si>
  <si>
    <t>Keevitusel 05.03.26-&gt;13.03</t>
  </si>
  <si>
    <t>Q25022</t>
  </si>
  <si>
    <t>Forging Pre-Machined Square SA350LF2 200x200x50_toorikud N8</t>
  </si>
  <si>
    <t>Q25023</t>
  </si>
  <si>
    <t>Q25024</t>
  </si>
  <si>
    <t>W2502602</t>
  </si>
  <si>
    <t>EST-P100038  TUBESHEET LEFT SIDE</t>
  </si>
  <si>
    <t>EST-P100330 TUBESHEET  RIGHT SIDE</t>
  </si>
  <si>
    <t>torud valmis, kui maksame siis tarnitakse</t>
  </si>
  <si>
    <t>kaaned</t>
  </si>
  <si>
    <t>plasmast, keevituses</t>
  </si>
  <si>
    <t>demister</t>
  </si>
  <si>
    <t>plasmast</t>
  </si>
  <si>
    <t>w2502305</t>
  </si>
  <si>
    <t>vaheseinad laserist avadega</t>
  </si>
  <si>
    <t>laserist</t>
  </si>
  <si>
    <t>w2502901</t>
  </si>
  <si>
    <t>demister head</t>
  </si>
  <si>
    <t>Tagasi keevitusele</t>
  </si>
  <si>
    <t>kamber katsetamiseks teine kord</t>
  </si>
  <si>
    <t>w2502302</t>
  </si>
  <si>
    <t xml:space="preserve">vaheplaadid </t>
  </si>
  <si>
    <t>puurida/ joonis väljastatud</t>
  </si>
  <si>
    <t>Multimill</t>
  </si>
  <si>
    <t>uks</t>
  </si>
  <si>
    <t>detail valmis töötlemiseks</t>
  </si>
  <si>
    <t>torulaud</t>
  </si>
  <si>
    <t>Pool Fully machined allh N10, Teha kesta keev faasid, U torud valmis märtsi keskel ja saab tuua märtsi lõpuks Info Kaarlilr antud koosolekul 25.02</t>
  </si>
  <si>
    <t>Baturinil, docide kontrollis 12-13.03</t>
  </si>
  <si>
    <t/>
  </si>
  <si>
    <t>Torulaud 1</t>
  </si>
  <si>
    <t>SD materjal kohal-&gt; lõikusse D2800, 06.03-&gt;11.03-&gt;12.03 saabunud</t>
  </si>
  <si>
    <t>w2600301-04</t>
  </si>
  <si>
    <t>torulauad 4tk (|)</t>
  </si>
  <si>
    <t>joonis puurimiseks Kert teeb (esialgne tähtaeg oli 16.02)</t>
  </si>
  <si>
    <t>torulauad  4tk (||)</t>
  </si>
  <si>
    <t>Vaheplaadid</t>
  </si>
  <si>
    <t>Puhastuses Terastoorikus</t>
  </si>
  <si>
    <t>Laserist</t>
  </si>
  <si>
    <t>w2502303</t>
  </si>
  <si>
    <t>Kohal</t>
  </si>
  <si>
    <t>torulauad 2tk</t>
  </si>
  <si>
    <t>w2504201-02</t>
  </si>
  <si>
    <t>Vaheseinad</t>
  </si>
  <si>
    <t>Laserist avadega kõik paksused</t>
  </si>
  <si>
    <t>Torulaud 2</t>
  </si>
  <si>
    <t>w2504301</t>
  </si>
  <si>
    <t>vaheseinad 32tk</t>
  </si>
  <si>
    <r>
      <t xml:space="preserve">Puurida     </t>
    </r>
    <r>
      <rPr>
        <strike/>
        <sz val="11"/>
        <color theme="1"/>
        <rFont val="Calibri"/>
        <family val="2"/>
        <charset val="186"/>
        <scheme val="minor"/>
      </rPr>
      <t xml:space="preserve"> uus katseplaat terastoorikust 12.02-&gt;16.02 /otsustada kas ise teeme või allhankes</t>
    </r>
    <r>
      <rPr>
        <sz val="11"/>
        <color theme="1"/>
        <rFont val="Calibri"/>
        <family val="2"/>
        <scheme val="minor"/>
      </rPr>
      <t xml:space="preserve"> (laseri kvaliteet ei sobi, vesi x3 kallim kui puurimine)</t>
    </r>
  </si>
  <si>
    <t>DG/DP</t>
  </si>
  <si>
    <t>w2502304</t>
  </si>
  <si>
    <t>torulauad 1tk(esimene)</t>
  </si>
  <si>
    <t>Forging Ring pre-machined claddinguga toorik allhankest N9, puurida ja faas</t>
  </si>
  <si>
    <t xml:space="preserve"> vaheseinad</t>
  </si>
  <si>
    <t>puurida</t>
  </si>
  <si>
    <t>Fleibel</t>
  </si>
  <si>
    <t>w2600501</t>
  </si>
  <si>
    <t>Karusel/TOS/Allh</t>
  </si>
  <si>
    <t>torulauad 1tk (teine)</t>
  </si>
  <si>
    <t>Torulauad</t>
  </si>
  <si>
    <t>Kambrid</t>
  </si>
  <si>
    <t>w2600305-08</t>
  </si>
  <si>
    <t>kamber</t>
  </si>
  <si>
    <t>w2600309-12</t>
  </si>
  <si>
    <t>w2502001</t>
  </si>
  <si>
    <t>w2502002</t>
  </si>
  <si>
    <t>w2503601-02</t>
  </si>
  <si>
    <t xml:space="preserve">Vaheseinad </t>
  </si>
  <si>
    <t>materjal saabub 15.04.26</t>
  </si>
  <si>
    <t>Torulauad 4tk</t>
  </si>
  <si>
    <t xml:space="preserve">Fully machined </t>
  </si>
  <si>
    <t>TOS/ALLH</t>
  </si>
  <si>
    <t>w2503603-04</t>
  </si>
  <si>
    <t>materjal saabub 15.06.26</t>
  </si>
  <si>
    <t>Torulauad 2tk</t>
  </si>
  <si>
    <t>Pre-machined keev nokaga, puurida</t>
  </si>
  <si>
    <t>w2503605-06</t>
  </si>
  <si>
    <t>torulauad</t>
  </si>
  <si>
    <t>Fully machined allhankest N9, P98844 ,  P98848</t>
  </si>
  <si>
    <t>kaaned ja äärikud</t>
  </si>
  <si>
    <t>Fully machined 2+2 OT260296</t>
  </si>
  <si>
    <t>Torulaud</t>
  </si>
  <si>
    <t>w2600401</t>
  </si>
  <si>
    <t>deaerator+kaelus</t>
  </si>
  <si>
    <t>Ülemine kamber</t>
  </si>
  <si>
    <t>W  projekti number</t>
  </si>
  <si>
    <t>Vastutaja</t>
  </si>
  <si>
    <t>kui tegevus on lõpetatud siis pannakse linnukene ja rida kaob nimekirjast ära</t>
  </si>
  <si>
    <t>Meh.töötluse meister</t>
  </si>
  <si>
    <t>Rea tekkimise kuupäev</t>
  </si>
  <si>
    <t>rea sisestaja</t>
  </si>
  <si>
    <t>Kes sisestas info</t>
  </si>
  <si>
    <t>Tegevuse või detaili nimetus või muu identifitseeritav info</t>
  </si>
  <si>
    <t>Kommentaar(tooriku seis, muu oluline info)</t>
  </si>
  <si>
    <t>vabas vormis oluline info või seis</t>
  </si>
  <si>
    <t>info valdaja</t>
  </si>
  <si>
    <t>Otsuse vastutaja</t>
  </si>
  <si>
    <t>Vastutaja nimi</t>
  </si>
  <si>
    <t>Tooriku või detaili eeldatav saabumise kuupäev</t>
  </si>
  <si>
    <t xml:space="preserve"> EE vajaduse kuupäev</t>
  </si>
  <si>
    <t>Teoreetilise vajaduse kuupäev</t>
  </si>
  <si>
    <t>Planeerija</t>
  </si>
  <si>
    <t>Mitu päeva enne EE vajadust (EE vajadus muutup punaseks) ehk meeldetuletus et varsti vaja</t>
  </si>
  <si>
    <t>Planeeritud töötluse algus</t>
  </si>
  <si>
    <t>Dima/Roman/Alik koosolekul neljapäeviti kl 12.15</t>
  </si>
  <si>
    <t>Kui detail hetkel töötlemises ( Kui tehakse Estancis) juhul kui pikkajaline protsess</t>
  </si>
  <si>
    <t>Planeeritud lõpp (täidetakse  Kui tehtud Estancis)</t>
  </si>
  <si>
    <t>Lõpetatud</t>
  </si>
  <si>
    <t>Töötlus lõpetatud ( täidetakse kui tehtud Estancis)</t>
  </si>
  <si>
    <t>Kus tehakse mehtöötlus TOS/Karussel/Allhankija nimetus</t>
  </si>
  <si>
    <t>Roman (info valdaja)</t>
  </si>
  <si>
    <t>Täidetakse kui tehakse allhankes</t>
  </si>
  <si>
    <t>Roman (info valdaja) täidetakse kui kasutatakse allhankija</t>
  </si>
  <si>
    <t>Vaikimisi täidab meh.osakonna meister (Roman)</t>
  </si>
  <si>
    <t>meeldetuletus X päeva ennem</t>
  </si>
  <si>
    <t>W2502304</t>
  </si>
  <si>
    <t>Äärikud</t>
  </si>
  <si>
    <t>Diameetri parandamine</t>
  </si>
  <si>
    <t>W2503501</t>
  </si>
  <si>
    <t>Electro Nozzle</t>
  </si>
  <si>
    <t>w2601201</t>
  </si>
  <si>
    <t>Ovalne ühendus</t>
  </si>
  <si>
    <t>Ümargune ühendus</t>
  </si>
  <si>
    <t>kesta osa ühendustega</t>
  </si>
  <si>
    <t>kest ilma ühendusteta</t>
  </si>
  <si>
    <t>väikesed detailid</t>
  </si>
  <si>
    <t>joonised väljastatud 23.02, toorik  CuZn38Sn1As  40,0x1565x1565 13.03-&gt;17.03&gt;19.03</t>
  </si>
  <si>
    <t>Töötlus allhankes</t>
  </si>
  <si>
    <t>EST-A20521_00_INNER CONTAINER LOWER SIDE</t>
  </si>
  <si>
    <t>Esimene op. avad</t>
  </si>
  <si>
    <t>EST-A19747_01_UPPER BLIND FLANGE</t>
  </si>
  <si>
    <t>Pärast tasapinna parandamist</t>
  </si>
  <si>
    <t>Fully machined 4tk</t>
  </si>
  <si>
    <t>Kesta äärikud 4tk</t>
  </si>
  <si>
    <t>toorikud, toimub vastuvõtmine (AG_23.03)</t>
  </si>
  <si>
    <t>w2504201</t>
  </si>
  <si>
    <t>w2504202</t>
  </si>
  <si>
    <t>Torulauad 2tk (|+||)</t>
  </si>
  <si>
    <t>Allh/Karusel</t>
  </si>
  <si>
    <t>toorikud 2tk_2 paar  toorikud N9 Allh? Otsustada N13</t>
  </si>
  <si>
    <t>toorikud 2tk_1 paar  toorikud N9 Allh? Otsustada N13</t>
  </si>
  <si>
    <t>SD materjal kohal-&gt; lõikusse D2800, 06.03-&gt;11.03-&gt;12.03 saabunud &gt;  tööpaus 24.03. &gt;</t>
  </si>
  <si>
    <t>AG</t>
  </si>
  <si>
    <t>joonised väljastatud 23.02, toorik  CuZn38Sn1As  40,0x1565x1565 13.03-&gt;17.03&gt;19.03 &gt; paus, teeme 2501201</t>
  </si>
  <si>
    <t>tihendipinna parandus</t>
  </si>
  <si>
    <r>
      <rPr>
        <sz val="11"/>
        <color rgb="FFFF0000"/>
        <rFont val="Calibri"/>
        <family val="2"/>
        <charset val="186"/>
        <scheme val="minor"/>
      </rPr>
      <t>Pink katki</t>
    </r>
    <r>
      <rPr>
        <sz val="11"/>
        <color theme="1"/>
        <rFont val="Calibri"/>
        <family val="2"/>
        <scheme val="minor"/>
      </rPr>
      <t xml:space="preserve"> 25.03. &gt; 27.03 ja 30.03 &gt; 04.04.</t>
    </r>
  </si>
  <si>
    <t>vaheseinad lõigatud aga ei ole puhastatud (AG 02.04.2026) Exmet`ist lõikus avadega ja puhastatud Timesvaeriga</t>
  </si>
  <si>
    <t>pooleli</t>
  </si>
  <si>
    <t>Margus.T</t>
  </si>
  <si>
    <t>lõppmehaanika</t>
  </si>
  <si>
    <t>Alumine kaan</t>
  </si>
  <si>
    <t>kambri äärikud</t>
  </si>
  <si>
    <t>vaheplaadid</t>
  </si>
  <si>
    <t>FinEst Steel AS</t>
  </si>
  <si>
    <t>meh.töötlus peale keevitamist</t>
  </si>
  <si>
    <r>
      <rPr>
        <b/>
        <sz val="11"/>
        <color rgb="FFFF0000"/>
        <rFont val="Calibri"/>
        <family val="2"/>
        <charset val="186"/>
        <scheme val="minor"/>
      </rPr>
      <t xml:space="preserve"> Ei tohi puurida(01.04.26) MUUDATUS!!! 304-&gt;316 cladding   </t>
    </r>
    <r>
      <rPr>
        <sz val="11"/>
        <color theme="1"/>
        <rFont val="Calibri"/>
        <family val="2"/>
        <scheme val="minor"/>
      </rPr>
      <t>Forging Pre-Machined_Toorik N9</t>
    </r>
  </si>
  <si>
    <t>Kambrite eelmehaanika</t>
  </si>
  <si>
    <t>Kaaned</t>
  </si>
  <si>
    <t>Allh</t>
  </si>
  <si>
    <t>q26009</t>
  </si>
  <si>
    <t>Katsekehad 5tk.</t>
  </si>
  <si>
    <t>w2602101</t>
  </si>
  <si>
    <t>torulaud 1</t>
  </si>
  <si>
    <t>torulaud 2</t>
  </si>
  <si>
    <t>Puurimine ja tihendipind</t>
  </si>
  <si>
    <t xml:space="preserve"> </t>
  </si>
  <si>
    <t xml:space="preserve"> koonus äärikuga</t>
  </si>
  <si>
    <t>Demister ???</t>
  </si>
  <si>
    <r>
      <t xml:space="preserve">laserist tellitud OT260508, </t>
    </r>
    <r>
      <rPr>
        <b/>
        <sz val="11"/>
        <color rgb="FFFF0000"/>
        <rFont val="Calibri"/>
        <family val="2"/>
        <charset val="186"/>
        <scheme val="minor"/>
      </rPr>
      <t>versenkimine???</t>
    </r>
  </si>
  <si>
    <t>DG</t>
  </si>
  <si>
    <t>joonis väljastatud, lõigata toorikud plasmaga, materjal laost</t>
  </si>
  <si>
    <r>
      <rPr>
        <sz val="11"/>
        <color rgb="FFFF0000"/>
        <rFont val="Calibri"/>
        <family val="2"/>
        <charset val="186"/>
        <scheme val="minor"/>
      </rPr>
      <t>versenkimine</t>
    </r>
    <r>
      <rPr>
        <sz val="11"/>
        <color theme="1"/>
        <rFont val="Calibri"/>
        <family val="2"/>
        <scheme val="minor"/>
      </rPr>
      <t>, laserist,</t>
    </r>
    <r>
      <rPr>
        <strike/>
        <sz val="11"/>
        <color theme="1"/>
        <rFont val="Calibri"/>
        <family val="2"/>
        <charset val="186"/>
        <scheme val="minor"/>
      </rPr>
      <t xml:space="preserve"> puhastatud</t>
    </r>
    <r>
      <rPr>
        <sz val="11"/>
        <color theme="1"/>
        <rFont val="Calibri"/>
        <family val="2"/>
        <scheme val="minor"/>
      </rPr>
      <t xml:space="preserve"> OT260535, (MT)ei saanud puhastada Timesaveris, kuna RST materjal ei “haakunud” kinni masinas(17.04.2026).</t>
    </r>
  </si>
  <si>
    <t>W2600501</t>
  </si>
  <si>
    <t>eeltöötlus</t>
  </si>
  <si>
    <t>Kamber 1 mehaanika</t>
  </si>
  <si>
    <t>Kamber 2 mehaanika</t>
  </si>
  <si>
    <t>Kambri eelmehaanika(pealekeevitus)</t>
  </si>
  <si>
    <t>w2601001</t>
  </si>
  <si>
    <t>erinevad detailid</t>
  </si>
  <si>
    <t>LD ise, lõigata (info23.04.2026) vaja joonis</t>
  </si>
  <si>
    <t>OT260499 Fully mach.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</si>
</sst>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rgb="FFFF0000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name val="Calibri"/>
      <family val="2"/>
      <charset val="186"/>
      <scheme val="minor"/>
    </font>
    <font>
      <sz val="9"/>
      <color indexed="81"/>
      <name val="Tahoma"/>
      <family val="2"/>
      <charset val="186"/>
    </font>
    <font>
      <sz val="11"/>
      <name val="Calibri"/>
      <family val="2"/>
      <scheme val="minor"/>
    </font>
    <font>
      <b/>
      <sz val="9"/>
      <color indexed="81"/>
      <name val="Tahoma"/>
      <family val="2"/>
      <charset val="186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trike/>
      <sz val="11"/>
      <color theme="1"/>
      <name val="Calibri"/>
      <family val="2"/>
      <charset val="186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86"/>
      <scheme val="minor"/>
    </font>
    <font>
      <b/>
      <sz val="11"/>
      <color rgb="FFFF0000"/>
      <name val="Calibri"/>
      <family val="2"/>
      <charset val="186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1">
    <xf numFmtId="0" fontId="0" fillId="0" borderId="0" xfId="0"/>
    <xf numFmtId="14" fontId="0" fillId="3" borderId="2" xfId="0" applyNumberFormat="1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3" borderId="2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/>
    <xf numFmtId="0" fontId="6" fillId="0" borderId="0" xfId="0" applyFont="1"/>
    <xf numFmtId="0" fontId="0" fillId="0" borderId="0" xfId="0" applyAlignment="1">
      <alignment horizontal="left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8" xfId="0" applyBorder="1" applyAlignment="1">
      <alignment horizontal="left" vertical="center"/>
    </xf>
    <xf numFmtId="0" fontId="0" fillId="0" borderId="9" xfId="0" applyBorder="1"/>
    <xf numFmtId="0" fontId="0" fillId="0" borderId="8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" xfId="0" applyBorder="1"/>
    <xf numFmtId="0" fontId="0" fillId="0" borderId="11" xfId="0" applyBorder="1"/>
    <xf numFmtId="0" fontId="0" fillId="2" borderId="0" xfId="0" applyFill="1" applyAlignment="1">
      <alignment horizontal="left"/>
    </xf>
    <xf numFmtId="14" fontId="0" fillId="0" borderId="0" xfId="0" applyNumberFormat="1"/>
    <xf numFmtId="0" fontId="0" fillId="0" borderId="12" xfId="0" applyBorder="1"/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/>
    </xf>
    <xf numFmtId="14" fontId="0" fillId="3" borderId="8" xfId="0" applyNumberFormat="1" applyFill="1" applyBorder="1" applyAlignment="1">
      <alignment horizontal="center"/>
    </xf>
    <xf numFmtId="14" fontId="0" fillId="3" borderId="9" xfId="0" applyNumberForma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left"/>
    </xf>
    <xf numFmtId="14" fontId="0" fillId="0" borderId="7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14" fontId="0" fillId="0" borderId="5" xfId="0" applyNumberFormat="1" applyBorder="1" applyAlignment="1">
      <alignment horizontal="left"/>
    </xf>
    <xf numFmtId="14" fontId="0" fillId="0" borderId="8" xfId="0" applyNumberForma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3" fillId="0" borderId="20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3" borderId="5" xfId="0" applyNumberFormat="1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14" fontId="0" fillId="3" borderId="25" xfId="0" applyNumberFormat="1" applyFill="1" applyBorder="1" applyAlignment="1">
      <alignment horizontal="center"/>
    </xf>
    <xf numFmtId="14" fontId="0" fillId="3" borderId="9" xfId="0" applyNumberFormat="1" applyFill="1" applyBorder="1" applyAlignment="1">
      <alignment horizontal="center"/>
    </xf>
    <xf numFmtId="14" fontId="0" fillId="3" borderId="26" xfId="0" applyNumberFormat="1" applyFill="1" applyBorder="1" applyAlignment="1">
      <alignment horizontal="center"/>
    </xf>
    <xf numFmtId="0" fontId="6" fillId="3" borderId="4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12" xfId="0" applyFont="1" applyFill="1" applyBorder="1" applyAlignment="1">
      <alignment horizontal="left"/>
    </xf>
    <xf numFmtId="0" fontId="4" fillId="3" borderId="27" xfId="0" applyFont="1" applyFill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8" fillId="0" borderId="3" xfId="1" applyBorder="1"/>
    <xf numFmtId="0" fontId="1" fillId="0" borderId="8" xfId="0" applyFont="1" applyBorder="1" applyAlignment="1">
      <alignment horizontal="left"/>
    </xf>
    <xf numFmtId="22" fontId="6" fillId="0" borderId="12" xfId="0" applyNumberFormat="1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14" fontId="6" fillId="3" borderId="2" xfId="0" applyNumberFormat="1" applyFont="1" applyFill="1" applyBorder="1" applyAlignment="1">
      <alignment horizontal="center"/>
    </xf>
    <xf numFmtId="0" fontId="4" fillId="4" borderId="2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4" borderId="2" xfId="0" applyNumberFormat="1" applyFill="1" applyBorder="1" applyAlignment="1">
      <alignment horizontal="center" vertical="center"/>
    </xf>
    <xf numFmtId="0" fontId="0" fillId="4" borderId="2" xfId="0" applyFill="1" applyBorder="1"/>
    <xf numFmtId="0" fontId="0" fillId="4" borderId="3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14" fontId="0" fillId="4" borderId="9" xfId="0" applyNumberFormat="1" applyFill="1" applyBorder="1" applyAlignment="1">
      <alignment horizontal="center"/>
    </xf>
    <xf numFmtId="14" fontId="0" fillId="4" borderId="25" xfId="0" applyNumberFormat="1" applyFill="1" applyBorder="1" applyAlignment="1">
      <alignment horizontal="center"/>
    </xf>
    <xf numFmtId="14" fontId="0" fillId="4" borderId="4" xfId="0" applyNumberFormat="1" applyFill="1" applyBorder="1" applyAlignment="1">
      <alignment horizontal="center"/>
    </xf>
    <xf numFmtId="14" fontId="0" fillId="4" borderId="9" xfId="0" applyNumberForma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4" borderId="8" xfId="0" applyNumberFormat="1" applyFill="1" applyBorder="1" applyAlignment="1">
      <alignment horizontal="center"/>
    </xf>
    <xf numFmtId="14" fontId="0" fillId="4" borderId="2" xfId="0" applyNumberFormat="1" applyFill="1" applyBorder="1" applyAlignment="1">
      <alignment horizontal="center"/>
    </xf>
    <xf numFmtId="0" fontId="0" fillId="4" borderId="0" xfId="0" applyFill="1"/>
    <xf numFmtId="0" fontId="6" fillId="0" borderId="2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left"/>
    </xf>
    <xf numFmtId="14" fontId="0" fillId="0" borderId="9" xfId="0" applyNumberFormat="1" applyBorder="1" applyAlignment="1">
      <alignment horizontal="left"/>
    </xf>
    <xf numFmtId="14" fontId="0" fillId="0" borderId="25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8" xfId="0" applyNumberFormat="1" applyBorder="1" applyAlignment="1">
      <alignment horizontal="center"/>
    </xf>
    <xf numFmtId="14" fontId="0" fillId="0" borderId="2" xfId="0" quotePrefix="1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3" borderId="29" xfId="0" applyNumberForma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29" xfId="0" applyNumberForma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4" borderId="29" xfId="0" applyNumberForma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2" fillId="3" borderId="12" xfId="0" applyFont="1" applyFill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6" fillId="3" borderId="12" xfId="0" applyFon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3" borderId="12" xfId="0" applyNumberFormat="1" applyFill="1" applyBorder="1" applyAlignment="1">
      <alignment horizontal="center" vertical="center"/>
    </xf>
    <xf numFmtId="0" fontId="0" fillId="3" borderId="16" xfId="0" applyFill="1" applyBorder="1" applyAlignment="1">
      <alignment horizontal="left"/>
    </xf>
    <xf numFmtId="14" fontId="0" fillId="3" borderId="24" xfId="0" applyNumberFormat="1" applyFill="1" applyBorder="1" applyAlignment="1">
      <alignment horizontal="center"/>
    </xf>
    <xf numFmtId="14" fontId="0" fillId="3" borderId="21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4" fontId="0" fillId="0" borderId="23" xfId="0" applyNumberFormat="1" applyBorder="1" applyAlignment="1">
      <alignment horizontal="center"/>
    </xf>
    <xf numFmtId="14" fontId="0" fillId="3" borderId="7" xfId="0" applyNumberForma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3" borderId="28" xfId="0" applyNumberForma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3" fillId="0" borderId="4" xfId="0" applyFont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14" fontId="0" fillId="3" borderId="12" xfId="0" applyNumberFormat="1" applyFill="1" applyBorder="1" applyAlignment="1">
      <alignment horizontal="center"/>
    </xf>
    <xf numFmtId="0" fontId="0" fillId="0" borderId="3" xfId="0" applyBorder="1"/>
    <xf numFmtId="0" fontId="0" fillId="3" borderId="2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3" xfId="0" applyNumberForma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3" borderId="31" xfId="0" applyNumberForma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31" xfId="0" applyNumberForma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3" borderId="8" xfId="0" applyNumberFormat="1" applyFill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8" xfId="0" applyNumberForma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14" fillId="0" borderId="25" xfId="0" applyNumberFormat="1" applyFont="1" applyBorder="1" applyAlignment="1">
      <alignment horizontal="center"/>
    </xf>
    <xf numFmtId="14" fontId="14" fillId="3" borderId="25" xfId="0" applyNumberFormat="1" applyFont="1" applyFill="1" applyBorder="1" applyAlignment="1">
      <alignment horizontal="center"/>
    </xf>
    <xf numFmtId="14" fontId="15" fillId="3" borderId="4" xfId="0" applyNumberFormat="1" applyFont="1" applyFill="1" applyBorder="1" applyAlignment="1">
      <alignment horizontal="center"/>
    </xf>
    <xf numFmtId="14" fontId="15" fillId="3" borderId="8" xfId="0" applyNumberFormat="1" applyFont="1" applyFill="1" applyBorder="1" applyAlignment="1">
      <alignment horizontal="center"/>
    </xf>
    <xf numFmtId="0" fontId="0" fillId="0" borderId="32" xfId="0" applyBorder="1" applyAlignment="1">
      <alignment horizontal="left"/>
    </xf>
    <xf numFmtId="0" fontId="0" fillId="0" borderId="2" xfId="0" applyBorder="1" applyAlignment="1">
      <alignment horizontal="left"/>
    </xf>
    <xf numFmtId="14" fontId="0" fillId="0" borderId="3" xfId="0" applyNumberFormat="1" applyBorder="1" applyAlignment="1">
      <alignment horizontal="center"/>
    </xf>
    <xf numFmtId="14" fontId="0" fillId="3" borderId="34" xfId="0" applyNumberFormat="1" applyFill="1" applyBorder="1" applyAlignment="1">
      <alignment horizontal="center"/>
    </xf>
    <xf numFmtId="0" fontId="0" fillId="0" borderId="33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0" borderId="8" xfId="0" applyBorder="1"/>
    <xf numFmtId="14" fontId="0" fillId="3" borderId="0" xfId="0" applyNumberFormat="1" applyFill="1" applyAlignment="1">
      <alignment horizontal="center"/>
    </xf>
    <xf numFmtId="0" fontId="1" fillId="0" borderId="2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7030A0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b val="0"/>
        <i val="0"/>
        <strike val="0"/>
        <color auto="1"/>
      </font>
    </dxf>
    <dxf>
      <font>
        <b val="0"/>
        <i val="0"/>
        <color theme="1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estanc\ESTANC\Projektid\2025\W25036%20Friotherm,%20Heat%20exchangers,%20Vessel,%20Piping,%20Celsio%20HPU\_1%20Projekti%20info\_Ajakava\W25036_Friotherm_plaan_rev00.xlsx" TargetMode="External"/><Relationship Id="rId3" Type="http://schemas.openxmlformats.org/officeDocument/2006/relationships/hyperlink" Target="file:///\\estanc\ESTANC\Projektid\2025\W25036%20Friotherm,%20Heat%20exchangers,%20Vessel,%20Piping,%20Celsio%20HPU\_1%20Projekti%20info\_Ajakava\W25036_Friotherm_plaan_rev00.xlsx" TargetMode="External"/><Relationship Id="rId7" Type="http://schemas.openxmlformats.org/officeDocument/2006/relationships/hyperlink" Target="file:///\\estanc\ESTANC\Projektid\2025\W25036%20Friotherm,%20Heat%20exchangers,%20Vessel,%20Piping,%20Celsio%20HPU\_1%20Projekti%20info\_Ajakava\W25036_Friotherm_plaan_rev00.xlsx" TargetMode="External"/><Relationship Id="rId2" Type="http://schemas.openxmlformats.org/officeDocument/2006/relationships/hyperlink" Target="file:///\\estanc\ESTANC\Projektid\2025\W25036%20Friotherm,%20Heat%20exchangers,%20Vessel,%20Piping,%20Celsio%20HPU\_1%20Projekti%20info\_Ajakava\W25036_Friotherm_plaan_rev00.xlsx" TargetMode="External"/><Relationship Id="rId1" Type="http://schemas.openxmlformats.org/officeDocument/2006/relationships/hyperlink" Target="file:///\\estanc\ESTANC\Projektid\2026\Q%20Projektid\Q26003\_2.1%20Tootmis%20joonised\Q26003\EST-A20576_01_TUBE%20WELDING%20TEST%20PLATE.pdf" TargetMode="External"/><Relationship Id="rId6" Type="http://schemas.openxmlformats.org/officeDocument/2006/relationships/hyperlink" Target="file:///\\estanc\ESTANC\Projektid\2025\W25036%20Friotherm,%20Heat%20exchangers,%20Vessel,%20Piping,%20Celsio%20HPU\_1%20Projekti%20info\_Ajakava\W25036_Friotherm_plaan_rev00.xlsx" TargetMode="External"/><Relationship Id="rId11" Type="http://schemas.openxmlformats.org/officeDocument/2006/relationships/comments" Target="../comments1.xml"/><Relationship Id="rId5" Type="http://schemas.openxmlformats.org/officeDocument/2006/relationships/hyperlink" Target="file:///\\estanc\ESTANC\Projektid\2025\W25036%20Friotherm,%20Heat%20exchangers,%20Vessel,%20Piping,%20Celsio%20HPU\_1%20Projekti%20info\_Ajakava\W25036_Friotherm_plaan_rev00.xlsx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file:///\\estanc\ESTANC\Projektid\2025\W25036%20Friotherm,%20Heat%20exchangers,%20Vessel,%20Piping,%20Celsio%20HPU\_1%20Projekti%20info\_Ajakava\W25036_Friotherm_plaan_rev00.xlsx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T166"/>
  <sheetViews>
    <sheetView tabSelected="1" zoomScaleNormal="100" workbookViewId="0">
      <pane xSplit="9" ySplit="1" topLeftCell="J56" activePane="bottomRight" state="frozen"/>
      <selection pane="topRight" activeCell="J1" sqref="J1"/>
      <selection pane="bottomLeft" activeCell="A2" sqref="A2"/>
      <selection pane="bottomRight" activeCell="A106" sqref="A106"/>
    </sheetView>
  </sheetViews>
  <sheetFormatPr defaultRowHeight="15" outlineLevelCol="1" x14ac:dyDescent="0.25"/>
  <cols>
    <col min="1" max="1" width="12.28515625" style="7" bestFit="1" customWidth="1"/>
    <col min="2" max="2" width="7" style="6" customWidth="1"/>
    <col min="3" max="3" width="15.7109375" style="6" hidden="1" customWidth="1" outlineLevel="1"/>
    <col min="4" max="4" width="11.5703125" customWidth="1" collapsed="1"/>
    <col min="6" max="6" width="26.7109375" customWidth="1"/>
    <col min="7" max="7" width="42" style="7" customWidth="1"/>
    <col min="8" max="8" width="10.140625" customWidth="1"/>
    <col min="9" max="9" width="15.42578125" customWidth="1"/>
    <col min="10" max="10" width="13.85546875" customWidth="1"/>
    <col min="11" max="11" width="13.85546875" hidden="1" customWidth="1" outlineLevel="1"/>
    <col min="12" max="12" width="10.85546875" bestFit="1" customWidth="1" collapsed="1"/>
    <col min="13" max="13" width="10.140625" customWidth="1"/>
    <col min="14" max="14" width="19.140625" style="51" hidden="1" customWidth="1" outlineLevel="1"/>
    <col min="15" max="15" width="14.85546875" customWidth="1" collapsed="1"/>
    <col min="16" max="17" width="10.140625" customWidth="1"/>
    <col min="18" max="18" width="16.85546875" customWidth="1"/>
    <col min="19" max="19" width="11.7109375" customWidth="1"/>
    <col min="20" max="20" width="13.7109375" customWidth="1"/>
  </cols>
  <sheetData>
    <row r="1" spans="1:20" s="3" customFormat="1" ht="60.75" thickBot="1" x14ac:dyDescent="0.3">
      <c r="A1" s="32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30" t="s">
        <v>5</v>
      </c>
      <c r="G1" s="32" t="s">
        <v>6</v>
      </c>
      <c r="H1" s="22" t="s">
        <v>7</v>
      </c>
      <c r="I1" s="37" t="s">
        <v>8</v>
      </c>
      <c r="J1" s="20" t="s">
        <v>9</v>
      </c>
      <c r="K1" s="22" t="s">
        <v>10</v>
      </c>
      <c r="L1" s="31" t="s">
        <v>11</v>
      </c>
      <c r="M1" s="22" t="s">
        <v>12</v>
      </c>
      <c r="N1" s="51" t="s">
        <v>13</v>
      </c>
      <c r="O1" s="20" t="s">
        <v>14</v>
      </c>
      <c r="P1" s="22" t="s">
        <v>15</v>
      </c>
      <c r="Q1" s="37" t="s">
        <v>208</v>
      </c>
      <c r="R1" s="31" t="s">
        <v>16</v>
      </c>
      <c r="S1" s="21" t="s">
        <v>17</v>
      </c>
      <c r="T1" s="22" t="s">
        <v>18</v>
      </c>
    </row>
    <row r="2" spans="1:20" hidden="1" x14ac:dyDescent="0.25">
      <c r="A2" s="85" t="s">
        <v>23</v>
      </c>
      <c r="B2" s="87" t="b">
        <v>1</v>
      </c>
      <c r="C2" s="51"/>
      <c r="D2" s="88">
        <v>46058</v>
      </c>
      <c r="E2" s="19" t="s">
        <v>20</v>
      </c>
      <c r="F2" s="89" t="s">
        <v>24</v>
      </c>
      <c r="G2" s="33"/>
      <c r="H2" s="28"/>
      <c r="I2" s="90"/>
      <c r="J2" s="91">
        <v>46062</v>
      </c>
      <c r="K2" s="92">
        <v>2</v>
      </c>
      <c r="L2" s="39">
        <v>46059</v>
      </c>
      <c r="M2" s="94" t="b">
        <v>1</v>
      </c>
      <c r="O2" s="39">
        <v>46060</v>
      </c>
      <c r="P2" s="94" t="b">
        <v>0</v>
      </c>
      <c r="Q2" s="95" t="b">
        <v>0</v>
      </c>
      <c r="R2" s="84" t="s">
        <v>22</v>
      </c>
      <c r="S2" s="99"/>
      <c r="T2" s="99"/>
    </row>
    <row r="3" spans="1:20" hidden="1" x14ac:dyDescent="0.25">
      <c r="A3" s="35" t="s">
        <v>25</v>
      </c>
      <c r="B3" s="4" t="b">
        <v>1</v>
      </c>
      <c r="C3" s="51"/>
      <c r="D3" s="1">
        <v>46058</v>
      </c>
      <c r="E3" s="5" t="s">
        <v>20</v>
      </c>
      <c r="F3" s="27" t="s">
        <v>24</v>
      </c>
      <c r="G3" s="34"/>
      <c r="H3" s="29"/>
      <c r="I3" s="39"/>
      <c r="J3" s="44">
        <v>46062</v>
      </c>
      <c r="K3" s="40">
        <v>2</v>
      </c>
      <c r="L3" s="23">
        <v>46059</v>
      </c>
      <c r="M3" s="25" t="b">
        <v>1</v>
      </c>
      <c r="O3" s="24">
        <v>46060</v>
      </c>
      <c r="P3" s="25" t="b">
        <v>0</v>
      </c>
      <c r="Q3" s="78" t="b">
        <v>0</v>
      </c>
      <c r="R3" s="26" t="s">
        <v>22</v>
      </c>
      <c r="S3" s="2"/>
      <c r="T3" s="2"/>
    </row>
    <row r="4" spans="1:20" hidden="1" x14ac:dyDescent="0.25">
      <c r="A4" s="5" t="s">
        <v>26</v>
      </c>
      <c r="B4" s="4" t="b">
        <v>1</v>
      </c>
      <c r="C4" s="51"/>
      <c r="D4" s="1">
        <v>46062</v>
      </c>
      <c r="E4" s="5" t="s">
        <v>20</v>
      </c>
      <c r="F4" s="27" t="s">
        <v>27</v>
      </c>
      <c r="G4" s="34"/>
      <c r="H4" s="29"/>
      <c r="I4" s="42" t="s">
        <v>28</v>
      </c>
      <c r="J4" s="43">
        <v>46062</v>
      </c>
      <c r="K4" s="41">
        <v>11</v>
      </c>
      <c r="L4" s="23">
        <v>46059</v>
      </c>
      <c r="M4" s="25" t="b">
        <v>1</v>
      </c>
      <c r="O4" s="24">
        <v>46061</v>
      </c>
      <c r="P4" s="25" t="b">
        <v>1</v>
      </c>
      <c r="Q4" s="78" t="b">
        <v>0</v>
      </c>
      <c r="R4" s="26" t="s">
        <v>22</v>
      </c>
      <c r="S4" s="2"/>
      <c r="T4" s="2"/>
    </row>
    <row r="5" spans="1:20" hidden="1" x14ac:dyDescent="0.25">
      <c r="A5" s="36" t="s">
        <v>29</v>
      </c>
      <c r="B5" s="4" t="b">
        <v>1</v>
      </c>
      <c r="C5" s="51"/>
      <c r="D5" s="1">
        <v>46058</v>
      </c>
      <c r="E5" s="5" t="s">
        <v>30</v>
      </c>
      <c r="F5" s="27" t="s">
        <v>31</v>
      </c>
      <c r="G5" s="13"/>
      <c r="H5" s="29"/>
      <c r="I5" s="42" t="s">
        <v>28</v>
      </c>
      <c r="J5" s="43">
        <v>46065</v>
      </c>
      <c r="K5" s="41">
        <v>1</v>
      </c>
      <c r="L5" s="23">
        <v>46060</v>
      </c>
      <c r="M5" s="25" t="b">
        <v>1</v>
      </c>
      <c r="O5" s="24">
        <v>46065</v>
      </c>
      <c r="P5" s="25" t="b">
        <v>1</v>
      </c>
      <c r="Q5" s="78" t="b">
        <v>0</v>
      </c>
      <c r="R5" s="26" t="s">
        <v>32</v>
      </c>
      <c r="S5" s="2"/>
      <c r="T5" s="2"/>
    </row>
    <row r="6" spans="1:20" hidden="1" x14ac:dyDescent="0.25">
      <c r="A6" s="47" t="s">
        <v>33</v>
      </c>
      <c r="B6" s="4" t="b">
        <v>1</v>
      </c>
      <c r="C6" s="51"/>
      <c r="D6" s="1">
        <v>46058</v>
      </c>
      <c r="E6" s="5" t="s">
        <v>20</v>
      </c>
      <c r="F6" s="27" t="s">
        <v>34</v>
      </c>
      <c r="G6" s="13"/>
      <c r="H6" s="29"/>
      <c r="I6" s="42" t="s">
        <v>28</v>
      </c>
      <c r="J6" s="43">
        <v>46066</v>
      </c>
      <c r="K6" s="41">
        <v>4</v>
      </c>
      <c r="L6" s="23">
        <v>46062</v>
      </c>
      <c r="M6" s="25" t="b">
        <v>1</v>
      </c>
      <c r="O6" s="24">
        <v>46067</v>
      </c>
      <c r="P6" s="25" t="b">
        <v>1</v>
      </c>
      <c r="Q6" s="78" t="b">
        <v>0</v>
      </c>
      <c r="R6" s="26" t="s">
        <v>22</v>
      </c>
      <c r="S6" s="2"/>
      <c r="T6" s="2"/>
    </row>
    <row r="7" spans="1:20" hidden="1" x14ac:dyDescent="0.25">
      <c r="A7" s="47" t="s">
        <v>37</v>
      </c>
      <c r="B7" s="4" t="b">
        <v>1</v>
      </c>
      <c r="C7" s="51"/>
      <c r="D7" s="1">
        <v>46058</v>
      </c>
      <c r="E7" s="5" t="s">
        <v>20</v>
      </c>
      <c r="F7" s="27" t="s">
        <v>38</v>
      </c>
      <c r="G7" s="13"/>
      <c r="H7" s="29"/>
      <c r="I7" s="42" t="s">
        <v>28</v>
      </c>
      <c r="J7" s="43">
        <v>46066</v>
      </c>
      <c r="K7" s="41">
        <v>1</v>
      </c>
      <c r="L7" s="23">
        <v>46066</v>
      </c>
      <c r="M7" s="25" t="b">
        <v>1</v>
      </c>
      <c r="O7" s="24">
        <v>46066</v>
      </c>
      <c r="P7" s="25" t="b">
        <v>1</v>
      </c>
      <c r="Q7" s="78" t="b">
        <v>0</v>
      </c>
      <c r="R7" s="26" t="s">
        <v>32</v>
      </c>
      <c r="S7" s="2"/>
      <c r="T7" s="2"/>
    </row>
    <row r="8" spans="1:20" hidden="1" x14ac:dyDescent="0.25">
      <c r="A8" s="47" t="s">
        <v>35</v>
      </c>
      <c r="B8" s="45" t="b">
        <v>1</v>
      </c>
      <c r="C8" s="51"/>
      <c r="D8" s="1">
        <v>46065</v>
      </c>
      <c r="E8" s="5" t="s">
        <v>20</v>
      </c>
      <c r="F8" s="27" t="s">
        <v>36</v>
      </c>
      <c r="G8" s="13"/>
      <c r="H8" s="29"/>
      <c r="I8" s="42" t="s">
        <v>28</v>
      </c>
      <c r="J8" s="43">
        <v>46069</v>
      </c>
      <c r="K8" s="41">
        <v>7</v>
      </c>
      <c r="L8" s="23">
        <v>46064</v>
      </c>
      <c r="M8" s="25" t="b">
        <v>1</v>
      </c>
      <c r="O8" s="24">
        <v>46065</v>
      </c>
      <c r="P8" s="25" t="b">
        <v>1</v>
      </c>
      <c r="Q8" s="78" t="b">
        <v>0</v>
      </c>
      <c r="R8" s="26"/>
      <c r="S8" s="2"/>
      <c r="T8" s="2"/>
    </row>
    <row r="9" spans="1:20" ht="16.5" hidden="1" customHeight="1" x14ac:dyDescent="0.25">
      <c r="A9" s="47" t="s">
        <v>25</v>
      </c>
      <c r="B9" s="45" t="b">
        <v>1</v>
      </c>
      <c r="C9" s="51">
        <f ca="1">IF(B9=TRUE, IF(OR(C9=0, C9=""), NOW(), C9), "")</f>
        <v>46100.350685532409</v>
      </c>
      <c r="D9" s="1">
        <v>46058</v>
      </c>
      <c r="E9" s="5" t="s">
        <v>20</v>
      </c>
      <c r="F9" s="27" t="s">
        <v>80</v>
      </c>
      <c r="G9" s="13" t="s">
        <v>81</v>
      </c>
      <c r="H9" s="29"/>
      <c r="I9" s="42">
        <v>46094</v>
      </c>
      <c r="J9" s="43">
        <v>46069</v>
      </c>
      <c r="K9" s="41">
        <v>2</v>
      </c>
      <c r="L9" s="23">
        <v>46098</v>
      </c>
      <c r="M9" s="25" t="b">
        <v>1</v>
      </c>
      <c r="N9" s="51">
        <f ca="1">IF(M9=TRUE, IF(OR(N9=0, N9=""), NOW(), N9), "")</f>
        <v>46099.503212847223</v>
      </c>
      <c r="O9" s="24">
        <v>46099</v>
      </c>
      <c r="P9" s="25" t="b">
        <v>1</v>
      </c>
      <c r="Q9" s="78" t="b">
        <v>0</v>
      </c>
      <c r="R9" s="26" t="s">
        <v>68</v>
      </c>
      <c r="S9" s="2"/>
      <c r="T9" s="2"/>
    </row>
    <row r="10" spans="1:20" hidden="1" x14ac:dyDescent="0.25">
      <c r="A10" s="47" t="s">
        <v>45</v>
      </c>
      <c r="B10" s="45" t="b">
        <v>1</v>
      </c>
      <c r="C10" s="51"/>
      <c r="D10" s="1">
        <v>46066</v>
      </c>
      <c r="E10" s="5" t="s">
        <v>42</v>
      </c>
      <c r="F10" s="49" t="s">
        <v>46</v>
      </c>
      <c r="G10" s="13" t="s">
        <v>47</v>
      </c>
      <c r="H10" s="29"/>
      <c r="I10" s="42" t="s">
        <v>28</v>
      </c>
      <c r="J10" s="43">
        <v>46071</v>
      </c>
      <c r="K10" s="41">
        <v>1</v>
      </c>
      <c r="L10" s="23">
        <v>46067</v>
      </c>
      <c r="M10" s="25" t="b">
        <v>0</v>
      </c>
      <c r="N10" s="51" t="str">
        <f ca="1">IF(M10=TRUE, IF(OR(N10=0, N10=""), NOW(), N10), "")</f>
        <v/>
      </c>
      <c r="O10" s="24"/>
      <c r="P10" s="25" t="b">
        <v>0</v>
      </c>
      <c r="Q10" s="78" t="b">
        <v>0</v>
      </c>
      <c r="R10" s="26" t="s">
        <v>44</v>
      </c>
      <c r="S10" s="2"/>
      <c r="T10" s="2"/>
    </row>
    <row r="11" spans="1:20" hidden="1" x14ac:dyDescent="0.25">
      <c r="A11" s="46" t="s">
        <v>48</v>
      </c>
      <c r="B11" s="4" t="b">
        <v>1</v>
      </c>
      <c r="C11" s="51"/>
      <c r="D11" s="1">
        <v>46066</v>
      </c>
      <c r="E11" s="5" t="s">
        <v>30</v>
      </c>
      <c r="F11" s="27"/>
      <c r="G11" s="13" t="s">
        <v>49</v>
      </c>
      <c r="H11" s="29"/>
      <c r="I11" s="42" t="s">
        <v>28</v>
      </c>
      <c r="J11" s="43">
        <v>46071</v>
      </c>
      <c r="K11" s="41">
        <v>1</v>
      </c>
      <c r="L11" s="23">
        <v>46067</v>
      </c>
      <c r="M11" s="25" t="b">
        <v>0</v>
      </c>
      <c r="N11" s="51" t="str">
        <f ca="1">IF(M11=TRUE, IF(OR(N11=0, N11=""), NOW(), N11), "")</f>
        <v/>
      </c>
      <c r="O11" s="24"/>
      <c r="P11" s="25" t="b">
        <v>0</v>
      </c>
      <c r="Q11" s="78" t="b">
        <v>0</v>
      </c>
      <c r="R11" s="26" t="s">
        <v>44</v>
      </c>
      <c r="S11" s="2"/>
      <c r="T11" s="2"/>
    </row>
    <row r="12" spans="1:20" hidden="1" x14ac:dyDescent="0.25">
      <c r="A12" s="36" t="s">
        <v>50</v>
      </c>
      <c r="B12" s="4" t="b">
        <v>1</v>
      </c>
      <c r="C12" s="51"/>
      <c r="D12" s="1">
        <v>46066</v>
      </c>
      <c r="E12" s="5" t="s">
        <v>30</v>
      </c>
      <c r="F12" s="27"/>
      <c r="G12" s="13" t="s">
        <v>51</v>
      </c>
      <c r="H12" s="29"/>
      <c r="I12" s="42" t="s">
        <v>28</v>
      </c>
      <c r="J12" s="43">
        <v>46071</v>
      </c>
      <c r="K12" s="41">
        <v>1</v>
      </c>
      <c r="L12" s="23">
        <v>46067</v>
      </c>
      <c r="M12" s="25" t="b">
        <v>0</v>
      </c>
      <c r="N12" s="51" t="str">
        <f ca="1">IF(M12=TRUE, IF(OR(N12=0, N12=""), NOW(), N12), "")</f>
        <v/>
      </c>
      <c r="O12" s="24"/>
      <c r="P12" s="25" t="b">
        <v>0</v>
      </c>
      <c r="Q12" s="78" t="b">
        <v>0</v>
      </c>
      <c r="R12" s="26" t="s">
        <v>44</v>
      </c>
      <c r="S12" s="2"/>
      <c r="T12" s="2"/>
    </row>
    <row r="13" spans="1:20" hidden="1" x14ac:dyDescent="0.25">
      <c r="A13" s="36" t="s">
        <v>52</v>
      </c>
      <c r="B13" s="4" t="b">
        <v>1</v>
      </c>
      <c r="C13" s="51"/>
      <c r="D13" s="1">
        <v>46066</v>
      </c>
      <c r="E13" s="5" t="s">
        <v>30</v>
      </c>
      <c r="F13" s="27"/>
      <c r="G13" s="13" t="s">
        <v>49</v>
      </c>
      <c r="H13" s="29"/>
      <c r="I13" s="42" t="s">
        <v>28</v>
      </c>
      <c r="J13" s="43">
        <v>46071</v>
      </c>
      <c r="K13" s="41">
        <v>1</v>
      </c>
      <c r="L13" s="23">
        <v>46067</v>
      </c>
      <c r="M13" s="25" t="b">
        <v>0</v>
      </c>
      <c r="N13" s="51" t="str">
        <f ca="1">IF(M13=TRUE, IF(OR(N13=0, N13=""), NOW(), N13), "")</f>
        <v/>
      </c>
      <c r="O13" s="24"/>
      <c r="P13" s="25" t="b">
        <v>0</v>
      </c>
      <c r="Q13" s="78" t="b">
        <v>0</v>
      </c>
      <c r="R13" s="26" t="s">
        <v>44</v>
      </c>
      <c r="S13" s="2"/>
      <c r="T13" s="2"/>
    </row>
    <row r="14" spans="1:20" hidden="1" x14ac:dyDescent="0.25">
      <c r="A14" s="36" t="s">
        <v>66</v>
      </c>
      <c r="B14" s="4" t="b">
        <v>1</v>
      </c>
      <c r="C14" s="51"/>
      <c r="D14" s="1">
        <v>46058</v>
      </c>
      <c r="E14" s="5" t="s">
        <v>20</v>
      </c>
      <c r="F14" s="27" t="s">
        <v>71</v>
      </c>
      <c r="G14" s="13" t="s">
        <v>72</v>
      </c>
      <c r="H14" s="29"/>
      <c r="I14" s="42" t="s">
        <v>28</v>
      </c>
      <c r="J14" s="43">
        <v>46071</v>
      </c>
      <c r="K14" s="41">
        <v>7</v>
      </c>
      <c r="L14" s="23">
        <v>46079</v>
      </c>
      <c r="M14" s="25" t="b">
        <v>1</v>
      </c>
      <c r="O14" s="24">
        <v>46080</v>
      </c>
      <c r="P14" s="25" t="b">
        <v>1</v>
      </c>
      <c r="Q14" s="78" t="b">
        <v>0</v>
      </c>
      <c r="R14" s="26" t="s">
        <v>68</v>
      </c>
      <c r="S14" s="2"/>
      <c r="T14" s="2"/>
    </row>
    <row r="15" spans="1:20" hidden="1" x14ac:dyDescent="0.25">
      <c r="A15" s="36" t="s">
        <v>53</v>
      </c>
      <c r="B15" s="4" t="b">
        <v>1</v>
      </c>
      <c r="C15" s="51"/>
      <c r="D15" s="1">
        <v>46065</v>
      </c>
      <c r="E15" s="5" t="s">
        <v>20</v>
      </c>
      <c r="F15" s="27" t="s">
        <v>54</v>
      </c>
      <c r="G15" s="13"/>
      <c r="H15" s="29"/>
      <c r="I15" s="42" t="s">
        <v>28</v>
      </c>
      <c r="J15" s="43">
        <v>46073</v>
      </c>
      <c r="K15" s="41">
        <v>7</v>
      </c>
      <c r="L15" s="23">
        <v>46069</v>
      </c>
      <c r="M15" s="25" t="b">
        <v>1</v>
      </c>
      <c r="O15" s="24"/>
      <c r="P15" s="25" t="b">
        <v>0</v>
      </c>
      <c r="Q15" s="78" t="b">
        <v>0</v>
      </c>
      <c r="R15" s="26" t="s">
        <v>55</v>
      </c>
      <c r="S15" s="2">
        <v>46073</v>
      </c>
      <c r="T15" s="2">
        <v>46076</v>
      </c>
    </row>
    <row r="16" spans="1:20" hidden="1" x14ac:dyDescent="0.25">
      <c r="A16" s="36" t="s">
        <v>53</v>
      </c>
      <c r="B16" s="4" t="b">
        <v>1</v>
      </c>
      <c r="C16" s="51"/>
      <c r="D16" s="1">
        <v>46065</v>
      </c>
      <c r="E16" s="5" t="s">
        <v>20</v>
      </c>
      <c r="F16" s="27" t="s">
        <v>56</v>
      </c>
      <c r="G16" s="13"/>
      <c r="H16" s="29"/>
      <c r="I16" s="42" t="s">
        <v>28</v>
      </c>
      <c r="J16" s="43">
        <v>46073</v>
      </c>
      <c r="K16" s="41">
        <v>7</v>
      </c>
      <c r="L16" s="23">
        <v>46069</v>
      </c>
      <c r="M16" s="25" t="b">
        <v>1</v>
      </c>
      <c r="O16" s="24"/>
      <c r="P16" s="25" t="b">
        <v>0</v>
      </c>
      <c r="Q16" s="78" t="b">
        <v>0</v>
      </c>
      <c r="R16" s="26" t="s">
        <v>57</v>
      </c>
      <c r="S16" s="2">
        <v>46073</v>
      </c>
      <c r="T16" s="2">
        <v>46073</v>
      </c>
    </row>
    <row r="17" spans="1:20" hidden="1" x14ac:dyDescent="0.25">
      <c r="A17" s="36" t="s">
        <v>39</v>
      </c>
      <c r="B17" s="4" t="b">
        <v>1</v>
      </c>
      <c r="C17" s="51"/>
      <c r="D17" s="1">
        <v>46058</v>
      </c>
      <c r="E17" s="5" t="s">
        <v>20</v>
      </c>
      <c r="F17" s="27" t="s">
        <v>40</v>
      </c>
      <c r="G17" s="13"/>
      <c r="H17" s="29"/>
      <c r="I17" s="42" t="s">
        <v>28</v>
      </c>
      <c r="J17" s="43">
        <v>46074</v>
      </c>
      <c r="K17" s="41">
        <v>7</v>
      </c>
      <c r="L17" s="23">
        <v>46067</v>
      </c>
      <c r="M17" s="25" t="b">
        <v>1</v>
      </c>
      <c r="O17" s="24">
        <v>46075</v>
      </c>
      <c r="P17" s="25" t="b">
        <v>1</v>
      </c>
      <c r="Q17" s="78" t="b">
        <v>0</v>
      </c>
      <c r="R17" s="26" t="s">
        <v>32</v>
      </c>
      <c r="S17" s="2"/>
      <c r="T17" s="2"/>
    </row>
    <row r="18" spans="1:20" hidden="1" x14ac:dyDescent="0.25">
      <c r="A18" s="36" t="s">
        <v>41</v>
      </c>
      <c r="B18" s="4" t="b">
        <v>1</v>
      </c>
      <c r="C18" s="51"/>
      <c r="D18" s="1">
        <v>46063</v>
      </c>
      <c r="E18" s="5" t="s">
        <v>42</v>
      </c>
      <c r="F18" s="48"/>
      <c r="G18" s="13" t="s">
        <v>43</v>
      </c>
      <c r="H18" s="29"/>
      <c r="I18" s="42" t="s">
        <v>28</v>
      </c>
      <c r="J18" s="43">
        <v>46076</v>
      </c>
      <c r="K18" s="41">
        <v>7</v>
      </c>
      <c r="L18" s="23">
        <v>46067</v>
      </c>
      <c r="M18" s="25" t="b">
        <v>0</v>
      </c>
      <c r="N18" s="51" t="str">
        <f ca="1">IF(M18=TRUE, IF(OR(N18=0, N18=""), NOW(), N18), "")</f>
        <v/>
      </c>
      <c r="O18" s="24"/>
      <c r="P18" s="25" t="b">
        <v>0</v>
      </c>
      <c r="Q18" s="78" t="b">
        <v>0</v>
      </c>
      <c r="R18" s="26" t="s">
        <v>44</v>
      </c>
      <c r="S18" s="2"/>
      <c r="T18" s="2"/>
    </row>
    <row r="19" spans="1:20" hidden="1" x14ac:dyDescent="0.25">
      <c r="A19" s="36" t="s">
        <v>58</v>
      </c>
      <c r="B19" s="4" t="b">
        <v>1</v>
      </c>
      <c r="C19" s="51"/>
      <c r="D19" s="1">
        <v>46063</v>
      </c>
      <c r="E19" s="5" t="s">
        <v>42</v>
      </c>
      <c r="F19" s="48" t="s">
        <v>59</v>
      </c>
      <c r="G19" s="13" t="s">
        <v>60</v>
      </c>
      <c r="H19" s="29"/>
      <c r="I19" s="42">
        <v>46073</v>
      </c>
      <c r="J19" s="43">
        <v>46076</v>
      </c>
      <c r="K19" s="41">
        <v>7</v>
      </c>
      <c r="L19" s="23"/>
      <c r="M19" s="25" t="b">
        <v>0</v>
      </c>
      <c r="N19" s="51" t="str">
        <f ca="1">IF(M19=TRUE, IF(OR(N19=0, N19=""), NOW(), N19), "")</f>
        <v/>
      </c>
      <c r="O19" s="24"/>
      <c r="P19" s="25" t="b">
        <v>0</v>
      </c>
      <c r="Q19" s="78" t="b">
        <v>0</v>
      </c>
      <c r="R19" s="26" t="s">
        <v>44</v>
      </c>
      <c r="S19" s="2"/>
      <c r="T19" s="2"/>
    </row>
    <row r="20" spans="1:20" hidden="1" x14ac:dyDescent="0.25">
      <c r="A20" s="36" t="s">
        <v>61</v>
      </c>
      <c r="B20" s="4" t="b">
        <v>1</v>
      </c>
      <c r="C20" s="51"/>
      <c r="D20" s="1">
        <v>46063</v>
      </c>
      <c r="E20" s="5" t="s">
        <v>42</v>
      </c>
      <c r="F20" s="48"/>
      <c r="G20" s="13" t="s">
        <v>43</v>
      </c>
      <c r="H20" s="29"/>
      <c r="I20" s="42">
        <v>46073</v>
      </c>
      <c r="J20" s="43">
        <v>46076</v>
      </c>
      <c r="K20" s="41">
        <v>7</v>
      </c>
      <c r="L20" s="23"/>
      <c r="M20" s="25" t="b">
        <v>0</v>
      </c>
      <c r="N20" s="51" t="str">
        <f ca="1">IF(M20=TRUE, IF(OR(N20=0, N20=""), NOW(), N20), "")</f>
        <v/>
      </c>
      <c r="O20" s="24"/>
      <c r="P20" s="25" t="b">
        <v>0</v>
      </c>
      <c r="Q20" s="78" t="b">
        <v>0</v>
      </c>
      <c r="R20" s="26" t="s">
        <v>44</v>
      </c>
      <c r="S20" s="2"/>
      <c r="T20" s="2"/>
    </row>
    <row r="21" spans="1:20" hidden="1" x14ac:dyDescent="0.25">
      <c r="A21" s="36" t="s">
        <v>73</v>
      </c>
      <c r="B21" s="4" t="b">
        <v>1</v>
      </c>
      <c r="C21" s="51"/>
      <c r="D21" s="1">
        <v>46058</v>
      </c>
      <c r="E21" s="5" t="s">
        <v>20</v>
      </c>
      <c r="F21" s="27" t="s">
        <v>74</v>
      </c>
      <c r="G21" s="13" t="s">
        <v>75</v>
      </c>
      <c r="H21" s="29"/>
      <c r="I21" s="42" t="s">
        <v>28</v>
      </c>
      <c r="J21" s="43">
        <v>46079</v>
      </c>
      <c r="K21" s="41">
        <v>2</v>
      </c>
      <c r="L21" s="23">
        <v>46087</v>
      </c>
      <c r="M21" s="25" t="b">
        <v>1</v>
      </c>
      <c r="O21" s="24">
        <v>46088</v>
      </c>
      <c r="P21" s="25" t="b">
        <v>1</v>
      </c>
      <c r="Q21" s="78" t="b">
        <v>0</v>
      </c>
      <c r="R21" s="26" t="s">
        <v>68</v>
      </c>
      <c r="S21" s="2"/>
      <c r="T21" s="2"/>
    </row>
    <row r="22" spans="1:20" hidden="1" x14ac:dyDescent="0.25">
      <c r="A22" s="36" t="s">
        <v>76</v>
      </c>
      <c r="B22" s="4" t="b">
        <v>1</v>
      </c>
      <c r="C22" s="51"/>
      <c r="D22" s="1">
        <v>46058</v>
      </c>
      <c r="E22" s="5" t="s">
        <v>20</v>
      </c>
      <c r="F22" s="27" t="s">
        <v>77</v>
      </c>
      <c r="G22" s="13" t="s">
        <v>78</v>
      </c>
      <c r="H22" s="29"/>
      <c r="I22" s="42">
        <v>46084</v>
      </c>
      <c r="J22" s="43">
        <v>46079</v>
      </c>
      <c r="K22" s="41">
        <v>2</v>
      </c>
      <c r="L22" s="23">
        <v>46084</v>
      </c>
      <c r="M22" s="25" t="b">
        <v>1</v>
      </c>
      <c r="O22" s="24">
        <v>46084</v>
      </c>
      <c r="P22" s="25" t="b">
        <v>1</v>
      </c>
      <c r="Q22" s="78" t="b">
        <v>0</v>
      </c>
      <c r="R22" s="26" t="s">
        <v>68</v>
      </c>
      <c r="S22" s="2"/>
      <c r="T22" s="2"/>
    </row>
    <row r="23" spans="1:20" hidden="1" x14ac:dyDescent="0.25">
      <c r="A23" s="36" t="s">
        <v>23</v>
      </c>
      <c r="B23" s="4" t="b">
        <v>1</v>
      </c>
      <c r="C23" s="51"/>
      <c r="D23" s="1">
        <v>46058</v>
      </c>
      <c r="E23" s="5" t="s">
        <v>20</v>
      </c>
      <c r="F23" s="27" t="s">
        <v>77</v>
      </c>
      <c r="G23" s="13"/>
      <c r="H23" s="29"/>
      <c r="I23" s="42">
        <v>46085</v>
      </c>
      <c r="J23" s="43">
        <v>46079</v>
      </c>
      <c r="K23" s="41">
        <v>2</v>
      </c>
      <c r="L23" s="23">
        <v>46084</v>
      </c>
      <c r="M23" s="25" t="b">
        <v>1</v>
      </c>
      <c r="O23" s="24">
        <v>46086</v>
      </c>
      <c r="P23" s="25" t="b">
        <v>1</v>
      </c>
      <c r="Q23" s="78" t="b">
        <v>0</v>
      </c>
      <c r="R23" s="26" t="s">
        <v>65</v>
      </c>
      <c r="S23" s="2"/>
      <c r="T23" s="2"/>
    </row>
    <row r="24" spans="1:20" hidden="1" x14ac:dyDescent="0.25">
      <c r="A24" s="36" t="s">
        <v>25</v>
      </c>
      <c r="B24" s="4" t="b">
        <v>1</v>
      </c>
      <c r="C24" s="51"/>
      <c r="D24" s="1">
        <v>46058</v>
      </c>
      <c r="E24" s="5" t="s">
        <v>20</v>
      </c>
      <c r="F24" s="27" t="s">
        <v>77</v>
      </c>
      <c r="G24" s="13"/>
      <c r="H24" s="29"/>
      <c r="I24" s="42">
        <v>46086</v>
      </c>
      <c r="J24" s="43">
        <v>46079</v>
      </c>
      <c r="K24" s="41">
        <v>2</v>
      </c>
      <c r="L24" s="23">
        <v>46084</v>
      </c>
      <c r="M24" s="25" t="b">
        <v>1</v>
      </c>
      <c r="O24" s="24">
        <v>46086</v>
      </c>
      <c r="P24" s="25" t="b">
        <v>1</v>
      </c>
      <c r="Q24" s="78" t="b">
        <v>0</v>
      </c>
      <c r="R24" s="26" t="s">
        <v>65</v>
      </c>
      <c r="S24" s="2"/>
      <c r="T24" s="2"/>
    </row>
    <row r="25" spans="1:20" hidden="1" x14ac:dyDescent="0.25">
      <c r="A25" s="36" t="s">
        <v>23</v>
      </c>
      <c r="B25" s="4" t="b">
        <v>1</v>
      </c>
      <c r="C25" s="51"/>
      <c r="D25" s="1">
        <v>46058</v>
      </c>
      <c r="E25" s="5" t="s">
        <v>20</v>
      </c>
      <c r="F25" s="27" t="s">
        <v>79</v>
      </c>
      <c r="G25" s="13"/>
      <c r="H25" s="29"/>
      <c r="I25" s="42">
        <v>46085</v>
      </c>
      <c r="J25" s="43">
        <v>46079</v>
      </c>
      <c r="K25" s="41">
        <v>2</v>
      </c>
      <c r="L25" s="23">
        <v>46086</v>
      </c>
      <c r="M25" s="25" t="b">
        <v>1</v>
      </c>
      <c r="O25" s="2">
        <v>46087</v>
      </c>
      <c r="P25" s="25" t="b">
        <v>1</v>
      </c>
      <c r="Q25" s="78" t="b">
        <v>0</v>
      </c>
      <c r="R25" s="26" t="s">
        <v>68</v>
      </c>
      <c r="S25" s="2"/>
      <c r="T25" s="2"/>
    </row>
    <row r="26" spans="1:20" hidden="1" x14ac:dyDescent="0.25">
      <c r="A26" s="36" t="s">
        <v>66</v>
      </c>
      <c r="B26" s="4" t="b">
        <v>1</v>
      </c>
      <c r="C26" s="51"/>
      <c r="D26" s="1">
        <v>46058</v>
      </c>
      <c r="E26" s="5" t="s">
        <v>20</v>
      </c>
      <c r="F26" s="27" t="s">
        <v>67</v>
      </c>
      <c r="G26" s="13"/>
      <c r="H26" s="29"/>
      <c r="I26" s="42" t="s">
        <v>28</v>
      </c>
      <c r="J26" s="43">
        <v>46080</v>
      </c>
      <c r="K26" s="41">
        <v>7</v>
      </c>
      <c r="L26" s="23">
        <v>46079</v>
      </c>
      <c r="M26" s="25" t="b">
        <v>1</v>
      </c>
      <c r="O26" s="2">
        <v>46079</v>
      </c>
      <c r="P26" s="25" t="b">
        <v>1</v>
      </c>
      <c r="Q26" s="78" t="b">
        <v>0</v>
      </c>
      <c r="R26" s="26" t="s">
        <v>68</v>
      </c>
      <c r="S26" s="2"/>
      <c r="T26" s="2"/>
    </row>
    <row r="27" spans="1:20" hidden="1" x14ac:dyDescent="0.25">
      <c r="A27" s="36" t="s">
        <v>33</v>
      </c>
      <c r="B27" s="4" t="b">
        <v>1</v>
      </c>
      <c r="C27" s="51"/>
      <c r="D27" s="1">
        <v>46079</v>
      </c>
      <c r="E27" s="5" t="s">
        <v>42</v>
      </c>
      <c r="F27" s="27" t="s">
        <v>69</v>
      </c>
      <c r="G27" s="13"/>
      <c r="H27" s="29"/>
      <c r="I27" s="42" t="s">
        <v>70</v>
      </c>
      <c r="J27" s="43">
        <v>46080</v>
      </c>
      <c r="K27" s="41">
        <v>7</v>
      </c>
      <c r="L27" s="23">
        <v>46079</v>
      </c>
      <c r="M27" s="25" t="b">
        <v>1</v>
      </c>
      <c r="O27" s="24">
        <v>46080</v>
      </c>
      <c r="P27" s="25" t="b">
        <v>1</v>
      </c>
      <c r="Q27" s="78" t="b">
        <v>0</v>
      </c>
      <c r="R27" s="26" t="s">
        <v>65</v>
      </c>
      <c r="S27" s="2"/>
      <c r="T27" s="2"/>
    </row>
    <row r="28" spans="1:20" hidden="1" x14ac:dyDescent="0.25">
      <c r="A28" s="36" t="s">
        <v>82</v>
      </c>
      <c r="B28" s="4" t="b">
        <v>1</v>
      </c>
      <c r="C28" s="51"/>
      <c r="D28" s="1">
        <v>46062</v>
      </c>
      <c r="E28" s="5" t="s">
        <v>42</v>
      </c>
      <c r="F28" s="48" t="s">
        <v>83</v>
      </c>
      <c r="G28" s="13" t="s">
        <v>60</v>
      </c>
      <c r="H28" s="29"/>
      <c r="I28" s="42">
        <v>46073</v>
      </c>
      <c r="J28" s="43">
        <v>46083</v>
      </c>
      <c r="K28" s="41">
        <v>4</v>
      </c>
      <c r="L28" s="23">
        <v>46085</v>
      </c>
      <c r="M28" s="25" t="b">
        <v>1</v>
      </c>
      <c r="O28" s="2">
        <v>46091</v>
      </c>
      <c r="P28" s="25" t="b">
        <v>1</v>
      </c>
      <c r="Q28" s="78" t="b">
        <v>0</v>
      </c>
      <c r="R28" s="26" t="s">
        <v>44</v>
      </c>
      <c r="S28" s="2"/>
      <c r="T28" s="2"/>
    </row>
    <row r="29" spans="1:20" hidden="1" x14ac:dyDescent="0.25">
      <c r="A29" s="36" t="s">
        <v>84</v>
      </c>
      <c r="B29" s="4" t="b">
        <v>1</v>
      </c>
      <c r="C29" s="51"/>
      <c r="D29" s="1">
        <v>46062</v>
      </c>
      <c r="E29" s="5" t="s">
        <v>42</v>
      </c>
      <c r="F29" s="48" t="s">
        <v>83</v>
      </c>
      <c r="G29" s="13" t="s">
        <v>60</v>
      </c>
      <c r="H29" s="29"/>
      <c r="I29" s="42">
        <v>46073</v>
      </c>
      <c r="J29" s="43">
        <v>46083</v>
      </c>
      <c r="K29" s="41">
        <v>4</v>
      </c>
      <c r="L29" s="23">
        <v>46085</v>
      </c>
      <c r="M29" s="25" t="b">
        <v>1</v>
      </c>
      <c r="O29" s="24">
        <v>46091</v>
      </c>
      <c r="P29" s="25" t="b">
        <v>1</v>
      </c>
      <c r="Q29" s="78" t="b">
        <v>0</v>
      </c>
      <c r="R29" s="26" t="s">
        <v>44</v>
      </c>
      <c r="S29" s="2"/>
      <c r="T29" s="2"/>
    </row>
    <row r="30" spans="1:20" hidden="1" x14ac:dyDescent="0.25">
      <c r="A30" s="36" t="s">
        <v>85</v>
      </c>
      <c r="B30" s="4" t="b">
        <v>1</v>
      </c>
      <c r="C30" s="51"/>
      <c r="D30" s="1">
        <v>46062</v>
      </c>
      <c r="E30" s="5" t="s">
        <v>42</v>
      </c>
      <c r="F30" s="48" t="s">
        <v>83</v>
      </c>
      <c r="G30" s="13" t="s">
        <v>60</v>
      </c>
      <c r="H30" s="29"/>
      <c r="I30" s="42">
        <v>46073</v>
      </c>
      <c r="J30" s="43">
        <v>46083</v>
      </c>
      <c r="K30" s="41">
        <v>4</v>
      </c>
      <c r="L30" s="23">
        <v>46085</v>
      </c>
      <c r="M30" s="25" t="b">
        <v>1</v>
      </c>
      <c r="O30" s="24">
        <v>46091</v>
      </c>
      <c r="P30" s="25" t="b">
        <v>1</v>
      </c>
      <c r="Q30" s="78" t="b">
        <v>0</v>
      </c>
      <c r="R30" s="26" t="s">
        <v>44</v>
      </c>
      <c r="S30" s="2"/>
      <c r="T30" s="2"/>
    </row>
    <row r="31" spans="1:20" hidden="1" x14ac:dyDescent="0.25">
      <c r="A31" s="5" t="s">
        <v>62</v>
      </c>
      <c r="B31" s="4" t="b">
        <v>1</v>
      </c>
      <c r="C31" s="51"/>
      <c r="D31" s="1">
        <v>46058</v>
      </c>
      <c r="E31" s="5" t="s">
        <v>20</v>
      </c>
      <c r="F31" s="27" t="s">
        <v>63</v>
      </c>
      <c r="G31" s="13" t="s">
        <v>64</v>
      </c>
      <c r="H31" s="29"/>
      <c r="I31" s="42" t="s">
        <v>28</v>
      </c>
      <c r="J31" s="43">
        <v>46086</v>
      </c>
      <c r="K31" s="41">
        <v>7</v>
      </c>
      <c r="L31" s="23">
        <v>46069</v>
      </c>
      <c r="M31" s="25" t="b">
        <v>1</v>
      </c>
      <c r="O31" s="24">
        <v>46079</v>
      </c>
      <c r="P31" s="25" t="b">
        <v>1</v>
      </c>
      <c r="Q31" s="78" t="b">
        <v>0</v>
      </c>
      <c r="R31" s="26" t="s">
        <v>65</v>
      </c>
      <c r="S31" s="2"/>
      <c r="T31" s="2"/>
    </row>
    <row r="32" spans="1:20" hidden="1" x14ac:dyDescent="0.25">
      <c r="A32" s="36" t="s">
        <v>86</v>
      </c>
      <c r="B32" s="4" t="b">
        <v>1</v>
      </c>
      <c r="C32" s="51">
        <f ca="1">IF(B32=TRUE, IF(OR(C32=0, C32=""), NOW(), C32), "")</f>
        <v>46097.531153124997</v>
      </c>
      <c r="D32" s="1">
        <v>46059</v>
      </c>
      <c r="E32" s="5" t="s">
        <v>42</v>
      </c>
      <c r="F32" s="27" t="s">
        <v>87</v>
      </c>
      <c r="G32" s="13"/>
      <c r="H32" s="29"/>
      <c r="I32" s="42" t="s">
        <v>28</v>
      </c>
      <c r="J32" s="43">
        <v>46086</v>
      </c>
      <c r="K32" s="41">
        <v>7</v>
      </c>
      <c r="L32" s="23">
        <v>46086</v>
      </c>
      <c r="M32" s="25" t="b">
        <v>1</v>
      </c>
      <c r="O32" s="24">
        <v>46093</v>
      </c>
      <c r="P32" s="25" t="b">
        <v>1</v>
      </c>
      <c r="Q32" s="78" t="b">
        <v>0</v>
      </c>
      <c r="R32" s="26" t="s">
        <v>65</v>
      </c>
      <c r="S32" s="2"/>
      <c r="T32" s="2"/>
    </row>
    <row r="33" spans="1:20" hidden="1" x14ac:dyDescent="0.25">
      <c r="A33" s="36" t="s">
        <v>62</v>
      </c>
      <c r="B33" s="4" t="b">
        <v>1</v>
      </c>
      <c r="C33" s="51"/>
      <c r="D33" s="1">
        <v>46059</v>
      </c>
      <c r="E33" s="5" t="s">
        <v>42</v>
      </c>
      <c r="F33" s="27" t="s">
        <v>117</v>
      </c>
      <c r="G33" s="13" t="s">
        <v>118</v>
      </c>
      <c r="H33" s="29"/>
      <c r="I33" s="42" t="s">
        <v>28</v>
      </c>
      <c r="J33" s="43">
        <v>46086</v>
      </c>
      <c r="K33" s="41">
        <v>7</v>
      </c>
      <c r="L33" s="23"/>
      <c r="M33" s="25" t="b">
        <v>0</v>
      </c>
      <c r="N33" s="51" t="str">
        <f ca="1">IF(M33=TRUE, IF(OR(N33=0, N33=""), NOW(), N33), "")</f>
        <v/>
      </c>
      <c r="O33" s="24">
        <v>46055</v>
      </c>
      <c r="P33" s="25" t="b">
        <v>1</v>
      </c>
      <c r="Q33" s="78" t="b">
        <v>0</v>
      </c>
      <c r="R33" s="26" t="s">
        <v>119</v>
      </c>
      <c r="S33" s="2"/>
      <c r="T33" s="2">
        <v>46065</v>
      </c>
    </row>
    <row r="34" spans="1:20" hidden="1" x14ac:dyDescent="0.25">
      <c r="A34" s="36" t="s">
        <v>86</v>
      </c>
      <c r="B34" s="4" t="b">
        <v>1</v>
      </c>
      <c r="C34" s="51"/>
      <c r="D34" s="1">
        <v>46059</v>
      </c>
      <c r="E34" s="5" t="s">
        <v>42</v>
      </c>
      <c r="F34" s="27" t="s">
        <v>117</v>
      </c>
      <c r="G34" s="13" t="s">
        <v>118</v>
      </c>
      <c r="H34" s="29"/>
      <c r="I34" s="42" t="s">
        <v>28</v>
      </c>
      <c r="J34" s="43">
        <v>46086</v>
      </c>
      <c r="K34" s="41">
        <v>7</v>
      </c>
      <c r="L34" s="23"/>
      <c r="M34" s="25" t="b">
        <v>0</v>
      </c>
      <c r="N34" s="51" t="str">
        <f ca="1">IF(M34=TRUE, IF(OR(N34=0, N34=""), NOW(), N34), "")</f>
        <v/>
      </c>
      <c r="O34" s="24">
        <v>46055</v>
      </c>
      <c r="P34" s="25" t="b">
        <v>1</v>
      </c>
      <c r="Q34" s="78" t="b">
        <v>0</v>
      </c>
      <c r="R34" s="83" t="s">
        <v>119</v>
      </c>
      <c r="S34" s="2"/>
      <c r="T34" s="2">
        <v>46065</v>
      </c>
    </row>
    <row r="35" spans="1:20" hidden="1" x14ac:dyDescent="0.25">
      <c r="A35" s="36" t="s">
        <v>62</v>
      </c>
      <c r="B35" s="4" t="b">
        <v>1</v>
      </c>
      <c r="C35" s="51">
        <f ca="1">IF(B35=TRUE, IF(OR(C35=0, C35=""), NOW(), C35), "")</f>
        <v>46099.634488888893</v>
      </c>
      <c r="D35" s="1">
        <v>46058</v>
      </c>
      <c r="E35" s="5" t="s">
        <v>20</v>
      </c>
      <c r="F35" s="27" t="s">
        <v>88</v>
      </c>
      <c r="G35" s="13" t="s">
        <v>89</v>
      </c>
      <c r="H35" s="29"/>
      <c r="I35" s="42" t="s">
        <v>28</v>
      </c>
      <c r="J35" s="43">
        <v>46091</v>
      </c>
      <c r="K35" s="41">
        <v>7</v>
      </c>
      <c r="L35" s="23">
        <v>46091</v>
      </c>
      <c r="M35" s="25" t="b">
        <v>1</v>
      </c>
      <c r="O35" s="24">
        <v>46098</v>
      </c>
      <c r="P35" s="25" t="b">
        <v>1</v>
      </c>
      <c r="Q35" s="104" t="b">
        <v>0</v>
      </c>
      <c r="R35" s="81" t="s">
        <v>68</v>
      </c>
      <c r="S35" s="23"/>
      <c r="T35" s="2"/>
    </row>
    <row r="36" spans="1:20" hidden="1" x14ac:dyDescent="0.25">
      <c r="A36" s="36" t="s">
        <v>86</v>
      </c>
      <c r="B36" s="4" t="b">
        <v>1</v>
      </c>
      <c r="C36" s="51">
        <f ca="1">IF(B36=TRUE, IF(OR(C36=0, C36=""), NOW(), C36), "")</f>
        <v>46121.517432060187</v>
      </c>
      <c r="D36" s="1">
        <v>46059</v>
      </c>
      <c r="E36" s="5" t="s">
        <v>42</v>
      </c>
      <c r="F36" s="27" t="s">
        <v>88</v>
      </c>
      <c r="G36" t="s">
        <v>226</v>
      </c>
      <c r="H36" s="29"/>
      <c r="I36" s="42" t="s">
        <v>28</v>
      </c>
      <c r="J36" s="43">
        <v>46091</v>
      </c>
      <c r="K36" s="41">
        <v>1</v>
      </c>
      <c r="L36" s="23">
        <v>46104</v>
      </c>
      <c r="M36" s="25" t="b">
        <v>1</v>
      </c>
      <c r="N36" s="51">
        <f ca="1">IF(M36=TRUE, IF(OR(N36=0, N36=""), NOW(), N36), "")</f>
        <v>46105.61641145833</v>
      </c>
      <c r="O36" s="24">
        <v>46119</v>
      </c>
      <c r="P36" s="102" t="b">
        <v>1</v>
      </c>
      <c r="Q36" s="106" t="b">
        <v>0</v>
      </c>
      <c r="R36" s="84" t="s">
        <v>65</v>
      </c>
      <c r="S36" s="2"/>
      <c r="T36" s="2"/>
    </row>
    <row r="37" spans="1:20" hidden="1" x14ac:dyDescent="0.25">
      <c r="A37" s="36" t="s">
        <v>39</v>
      </c>
      <c r="B37" s="4" t="b">
        <v>1</v>
      </c>
      <c r="C37" s="51"/>
      <c r="D37" s="1">
        <v>46058</v>
      </c>
      <c r="E37" s="5" t="s">
        <v>20</v>
      </c>
      <c r="F37" s="27" t="s">
        <v>92</v>
      </c>
      <c r="G37" s="13"/>
      <c r="H37" s="29"/>
      <c r="I37" s="42" t="s">
        <v>28</v>
      </c>
      <c r="J37" s="43">
        <v>46093</v>
      </c>
      <c r="K37" s="41">
        <v>7</v>
      </c>
      <c r="L37" s="23">
        <v>46085</v>
      </c>
      <c r="M37" s="25" t="b">
        <v>1</v>
      </c>
      <c r="O37" s="24">
        <v>46086</v>
      </c>
      <c r="P37" s="25" t="b">
        <v>1</v>
      </c>
      <c r="Q37" s="78" t="b">
        <v>0</v>
      </c>
      <c r="R37" s="26" t="s">
        <v>68</v>
      </c>
      <c r="S37" s="2"/>
      <c r="T37" s="2"/>
    </row>
    <row r="38" spans="1:20" hidden="1" x14ac:dyDescent="0.25">
      <c r="A38" s="36" t="s">
        <v>23</v>
      </c>
      <c r="B38" s="4" t="b">
        <v>1</v>
      </c>
      <c r="C38" s="51">
        <f ca="1">IF(B38=TRUE, IF(OR(C38=0, C38=""), NOW(), C38), "")</f>
        <v>46098.543382638891</v>
      </c>
      <c r="D38" s="1">
        <v>46065</v>
      </c>
      <c r="E38" s="5" t="s">
        <v>20</v>
      </c>
      <c r="F38" s="27" t="s">
        <v>90</v>
      </c>
      <c r="G38" s="13" t="s">
        <v>91</v>
      </c>
      <c r="H38" s="29"/>
      <c r="I38" s="42" t="s">
        <v>28</v>
      </c>
      <c r="J38" s="43">
        <v>46096</v>
      </c>
      <c r="K38" s="41">
        <v>1</v>
      </c>
      <c r="L38" s="23">
        <v>46097</v>
      </c>
      <c r="M38" s="25" t="b">
        <v>1</v>
      </c>
      <c r="N38" s="51">
        <f ca="1">IF(M38=TRUE, IF(OR(N38=0, N38=""), NOW(), N38), "")</f>
        <v>46098.351662499997</v>
      </c>
      <c r="O38" s="24">
        <v>46098</v>
      </c>
      <c r="P38" s="25" t="b">
        <v>1</v>
      </c>
      <c r="Q38" s="78" t="b">
        <v>0</v>
      </c>
      <c r="R38" s="26" t="s">
        <v>65</v>
      </c>
      <c r="S38" s="2"/>
      <c r="T38" s="2"/>
    </row>
    <row r="39" spans="1:20" hidden="1" x14ac:dyDescent="0.25">
      <c r="A39" s="36" t="s">
        <v>25</v>
      </c>
      <c r="B39" s="4" t="b">
        <v>1</v>
      </c>
      <c r="C39" s="51">
        <f ca="1">IF(B39=TRUE, IF(OR(C39=0, C39=""), NOW(), C39), "")</f>
        <v>46099.503354166663</v>
      </c>
      <c r="D39" s="1">
        <v>46065</v>
      </c>
      <c r="E39" s="5" t="s">
        <v>20</v>
      </c>
      <c r="F39" s="27" t="s">
        <v>90</v>
      </c>
      <c r="G39" s="13" t="s">
        <v>91</v>
      </c>
      <c r="H39" s="29"/>
      <c r="I39" s="42" t="s">
        <v>28</v>
      </c>
      <c r="J39" s="43">
        <v>46096</v>
      </c>
      <c r="K39" s="41">
        <v>1</v>
      </c>
      <c r="L39" s="23">
        <v>46097</v>
      </c>
      <c r="M39" s="25" t="b">
        <v>1</v>
      </c>
      <c r="N39" s="51">
        <f ca="1">IF(M39=TRUE, IF(OR(N39=0, N39=""), NOW(), N39), "")</f>
        <v>46098.543357870367</v>
      </c>
      <c r="O39" s="24">
        <v>46098</v>
      </c>
      <c r="P39" s="25" t="b">
        <v>1</v>
      </c>
      <c r="Q39" s="78" t="b">
        <v>0</v>
      </c>
      <c r="R39" s="26" t="s">
        <v>65</v>
      </c>
      <c r="S39" s="2"/>
      <c r="T39" s="2"/>
    </row>
    <row r="40" spans="1:20" hidden="1" x14ac:dyDescent="0.25">
      <c r="A40" s="36" t="s">
        <v>76</v>
      </c>
      <c r="B40" s="4" t="b">
        <v>1</v>
      </c>
      <c r="C40" s="51"/>
      <c r="D40" s="1">
        <v>46065</v>
      </c>
      <c r="E40" s="5" t="s">
        <v>20</v>
      </c>
      <c r="F40" s="27" t="s">
        <v>90</v>
      </c>
      <c r="G40" s="13" t="s">
        <v>93</v>
      </c>
      <c r="H40" s="29"/>
      <c r="I40" s="42" t="s">
        <v>28</v>
      </c>
      <c r="J40" s="43">
        <v>46096</v>
      </c>
      <c r="K40" s="41">
        <v>7</v>
      </c>
      <c r="L40" s="23"/>
      <c r="M40" s="25" t="b">
        <v>0</v>
      </c>
      <c r="N40" s="51" t="str">
        <f ca="1">IF(M40=TRUE, IF(OR(N40=0, N40=""), NOW(), N40), "")</f>
        <v/>
      </c>
      <c r="O40" s="24"/>
      <c r="P40" s="25" t="b">
        <v>0</v>
      </c>
      <c r="Q40" s="104" t="b">
        <v>0</v>
      </c>
      <c r="R40" s="81"/>
      <c r="S40" s="2"/>
      <c r="T40" s="2"/>
    </row>
    <row r="41" spans="1:20" hidden="1" x14ac:dyDescent="0.25">
      <c r="A41" s="53" t="s">
        <v>94</v>
      </c>
      <c r="B41" s="68" t="b">
        <v>1</v>
      </c>
      <c r="C41" s="51">
        <f ca="1">IF(B41=TRUE, IF(OR(C41=0, C41=""), NOW(), C41), "")</f>
        <v>46114.528466319447</v>
      </c>
      <c r="D41" s="69">
        <v>46058</v>
      </c>
      <c r="E41" s="5" t="s">
        <v>20</v>
      </c>
      <c r="F41" s="70" t="s">
        <v>74</v>
      </c>
      <c r="G41" s="52" t="s">
        <v>95</v>
      </c>
      <c r="H41" s="29"/>
      <c r="I41" s="72">
        <v>46112</v>
      </c>
      <c r="J41" s="29">
        <v>46096</v>
      </c>
      <c r="K41" s="41">
        <v>7</v>
      </c>
      <c r="L41" s="73" t="s">
        <v>70</v>
      </c>
      <c r="M41" s="74" t="b">
        <v>1</v>
      </c>
      <c r="N41" s="51">
        <f ca="1">IF(M41=TRUE, IF(OR(N41=0, N41=""), NOW(), N41), "")</f>
        <v>46093.595241898147</v>
      </c>
      <c r="O41" s="75" t="s">
        <v>70</v>
      </c>
      <c r="P41" s="103" t="b">
        <v>0</v>
      </c>
      <c r="Q41" s="107" t="b">
        <v>1</v>
      </c>
      <c r="R41" s="98" t="s">
        <v>96</v>
      </c>
      <c r="S41" s="77">
        <v>46112</v>
      </c>
      <c r="T41" s="77"/>
    </row>
    <row r="42" spans="1:20" s="67" customFormat="1" hidden="1" x14ac:dyDescent="0.25">
      <c r="A42" s="53" t="s">
        <v>97</v>
      </c>
      <c r="B42" s="68" t="b">
        <v>1</v>
      </c>
      <c r="C42" s="51">
        <f ca="1">IF(B42=TRUE, IF(OR(C42=0, C42=""), NOW(), C42), "")</f>
        <v>46135.529121990738</v>
      </c>
      <c r="D42" s="69">
        <v>46062</v>
      </c>
      <c r="E42" s="5" t="s">
        <v>42</v>
      </c>
      <c r="F42" s="70" t="s">
        <v>74</v>
      </c>
      <c r="G42" s="13" t="s">
        <v>227</v>
      </c>
      <c r="H42" s="29" t="s">
        <v>229</v>
      </c>
      <c r="I42" s="108" t="s">
        <v>228</v>
      </c>
      <c r="J42" s="29">
        <v>46097</v>
      </c>
      <c r="K42" s="41">
        <v>1</v>
      </c>
      <c r="L42" s="73" t="s">
        <v>70</v>
      </c>
      <c r="M42" s="74" t="b">
        <v>1</v>
      </c>
      <c r="N42" s="51">
        <f ca="1">IF(M42=TRUE, IF(OR(N42=0, N42=""), NOW(), N42), "")</f>
        <v>46093.595114236108</v>
      </c>
      <c r="O42" s="75" t="s">
        <v>70</v>
      </c>
      <c r="P42" s="103" t="b">
        <v>0</v>
      </c>
      <c r="Q42" s="107" t="b">
        <v>1</v>
      </c>
      <c r="R42" s="98" t="s">
        <v>96</v>
      </c>
      <c r="S42" s="77">
        <v>46108</v>
      </c>
      <c r="T42" s="77"/>
    </row>
    <row r="43" spans="1:20" hidden="1" x14ac:dyDescent="0.25">
      <c r="A43" s="55" t="s">
        <v>199</v>
      </c>
      <c r="B43" s="56" t="b">
        <v>1</v>
      </c>
      <c r="C43" s="51"/>
      <c r="D43" s="57">
        <v>46100</v>
      </c>
      <c r="E43" s="58" t="s">
        <v>20</v>
      </c>
      <c r="F43" s="59" t="s">
        <v>200</v>
      </c>
      <c r="G43" s="60"/>
      <c r="H43" s="61"/>
      <c r="I43" s="62" t="s">
        <v>28</v>
      </c>
      <c r="J43" s="61">
        <v>46099</v>
      </c>
      <c r="K43" s="41"/>
      <c r="L43" s="63">
        <v>46098</v>
      </c>
      <c r="M43" s="64" t="b">
        <v>1</v>
      </c>
      <c r="O43" s="65">
        <v>46099</v>
      </c>
      <c r="P43" s="64" t="b">
        <v>1</v>
      </c>
      <c r="Q43" s="80" t="b">
        <v>0</v>
      </c>
      <c r="R43" s="97" t="s">
        <v>65</v>
      </c>
      <c r="S43" s="66"/>
      <c r="T43" s="66"/>
    </row>
    <row r="44" spans="1:20" hidden="1" x14ac:dyDescent="0.25">
      <c r="A44" s="36" t="s">
        <v>39</v>
      </c>
      <c r="B44" s="4" t="b">
        <v>1</v>
      </c>
      <c r="C44" s="51">
        <f ca="1">IF(B44=TRUE, IF(OR(C44=0, C44=""), NOW(), C44), "")</f>
        <v>46104.402115393517</v>
      </c>
      <c r="D44" s="1">
        <v>46058</v>
      </c>
      <c r="E44" s="5" t="s">
        <v>20</v>
      </c>
      <c r="F44" s="27" t="s">
        <v>98</v>
      </c>
      <c r="G44" s="13" t="s">
        <v>99</v>
      </c>
      <c r="H44" s="29"/>
      <c r="I44" s="42" t="s">
        <v>28</v>
      </c>
      <c r="J44" s="43">
        <v>46100</v>
      </c>
      <c r="K44" s="41">
        <v>7</v>
      </c>
      <c r="L44" s="23">
        <v>46101</v>
      </c>
      <c r="M44" s="25" t="b">
        <v>1</v>
      </c>
      <c r="N44" s="51">
        <f ca="1">IF(M44=TRUE, IF(OR(N44=0, N44=""), NOW(), N44), "")</f>
        <v>46104.402086574075</v>
      </c>
      <c r="O44" s="24">
        <v>46102</v>
      </c>
      <c r="P44" s="25" t="b">
        <v>1</v>
      </c>
      <c r="Q44" s="78" t="b">
        <v>0</v>
      </c>
      <c r="R44" s="81" t="s">
        <v>68</v>
      </c>
      <c r="S44" s="2"/>
      <c r="T44" s="2"/>
    </row>
    <row r="45" spans="1:20" hidden="1" x14ac:dyDescent="0.25">
      <c r="A45" s="36" t="s">
        <v>33</v>
      </c>
      <c r="B45" s="4" t="b">
        <v>1</v>
      </c>
      <c r="C45" s="51">
        <f ca="1">IF(B45=TRUE, IF(OR(C45=0, C45=""), NOW(), C45), "")</f>
        <v>46097.531317129629</v>
      </c>
      <c r="D45" s="1">
        <v>46093</v>
      </c>
      <c r="E45" s="5" t="s">
        <v>30</v>
      </c>
      <c r="F45" s="27" t="s">
        <v>100</v>
      </c>
      <c r="G45" s="13"/>
      <c r="H45" s="29"/>
      <c r="I45" s="42">
        <v>46097</v>
      </c>
      <c r="J45" s="43">
        <v>46100</v>
      </c>
      <c r="K45" s="41">
        <v>7</v>
      </c>
      <c r="L45" s="23">
        <v>46097</v>
      </c>
      <c r="M45" s="25" t="b">
        <v>1</v>
      </c>
      <c r="N45" s="51">
        <f ca="1">IF(M45=TRUE, IF(OR(N45=0, N45=""), NOW(), N45), "")</f>
        <v>46097.531287847225</v>
      </c>
      <c r="O45" s="24">
        <v>46098</v>
      </c>
      <c r="P45" s="25" t="b">
        <v>1</v>
      </c>
      <c r="Q45" s="78" t="b">
        <v>0</v>
      </c>
      <c r="R45" s="26" t="s">
        <v>65</v>
      </c>
      <c r="S45" s="2"/>
      <c r="T45" s="2"/>
    </row>
    <row r="46" spans="1:20" hidden="1" x14ac:dyDescent="0.25">
      <c r="A46" s="53" t="s">
        <v>196</v>
      </c>
      <c r="B46" s="68" t="b">
        <v>1</v>
      </c>
      <c r="C46" s="51"/>
      <c r="D46" s="69">
        <v>46100</v>
      </c>
      <c r="E46" s="5" t="s">
        <v>20</v>
      </c>
      <c r="F46" s="70" t="s">
        <v>197</v>
      </c>
      <c r="G46" s="13" t="s">
        <v>198</v>
      </c>
      <c r="H46" s="29"/>
      <c r="I46" s="72" t="s">
        <v>28</v>
      </c>
      <c r="J46" s="29">
        <v>46101</v>
      </c>
      <c r="K46" s="41">
        <v>3</v>
      </c>
      <c r="L46" s="73">
        <v>46100</v>
      </c>
      <c r="M46" s="74" t="b">
        <v>1</v>
      </c>
      <c r="O46" s="75">
        <v>46101</v>
      </c>
      <c r="P46" s="74" t="b">
        <v>1</v>
      </c>
      <c r="Q46" s="79" t="b">
        <v>0</v>
      </c>
      <c r="R46" s="82" t="s">
        <v>68</v>
      </c>
      <c r="S46" s="77"/>
      <c r="T46" s="77"/>
    </row>
    <row r="47" spans="1:20" hidden="1" x14ac:dyDescent="0.25">
      <c r="A47" s="36" t="s">
        <v>35</v>
      </c>
      <c r="B47" s="4" t="b">
        <v>1</v>
      </c>
      <c r="C47" s="51">
        <f ca="1">IF(B47=TRUE, IF(OR(C47=0, C47=""), NOW(), C47), "")</f>
        <v>46104.400196643517</v>
      </c>
      <c r="D47" s="1">
        <v>46101</v>
      </c>
      <c r="E47" s="5" t="s">
        <v>20</v>
      </c>
      <c r="F47" s="27" t="s">
        <v>209</v>
      </c>
      <c r="G47" s="13" t="s">
        <v>210</v>
      </c>
      <c r="H47" s="29"/>
      <c r="I47" s="42" t="s">
        <v>28</v>
      </c>
      <c r="J47" s="43">
        <v>46101</v>
      </c>
      <c r="K47" s="41">
        <v>7</v>
      </c>
      <c r="L47" s="23">
        <v>46101</v>
      </c>
      <c r="M47" s="25" t="b">
        <v>1</v>
      </c>
      <c r="N47" s="51">
        <f ca="1">IF(M47=TRUE, IF(OR(N47=0, N47=""), NOW(), N47), "")</f>
        <v>46101.526098148148</v>
      </c>
      <c r="O47" s="24">
        <v>46101</v>
      </c>
      <c r="P47" s="25" t="b">
        <v>1</v>
      </c>
      <c r="Q47" s="78" t="b">
        <v>0</v>
      </c>
      <c r="R47" s="26" t="s">
        <v>68</v>
      </c>
      <c r="S47" s="2"/>
      <c r="T47" s="2"/>
    </row>
    <row r="48" spans="1:20" ht="14.45" hidden="1" customHeight="1" x14ac:dyDescent="0.25">
      <c r="A48" s="36" t="s">
        <v>37</v>
      </c>
      <c r="B48" s="4" t="b">
        <v>1</v>
      </c>
      <c r="C48" s="51"/>
      <c r="D48" s="1">
        <v>46058</v>
      </c>
      <c r="E48" s="5" t="s">
        <v>20</v>
      </c>
      <c r="F48" s="27" t="s">
        <v>105</v>
      </c>
      <c r="G48" s="13" t="s">
        <v>106</v>
      </c>
      <c r="H48" s="29"/>
      <c r="I48" s="42" t="s">
        <v>28</v>
      </c>
      <c r="J48" s="43">
        <v>46101</v>
      </c>
      <c r="K48" s="41">
        <v>7</v>
      </c>
      <c r="L48" s="23">
        <v>46091</v>
      </c>
      <c r="M48" s="25" t="b">
        <v>1</v>
      </c>
      <c r="O48" s="24">
        <v>46092</v>
      </c>
      <c r="P48" s="25" t="b">
        <v>1</v>
      </c>
      <c r="Q48" s="78" t="b">
        <v>0</v>
      </c>
      <c r="R48" s="81" t="s">
        <v>68</v>
      </c>
      <c r="S48" s="2"/>
      <c r="T48" s="2"/>
    </row>
    <row r="49" spans="1:20" hidden="1" x14ac:dyDescent="0.25">
      <c r="A49" s="36" t="s">
        <v>25</v>
      </c>
      <c r="B49" s="4" t="b">
        <v>1</v>
      </c>
      <c r="C49" s="51">
        <f ca="1">IF(B49=TRUE, IF(OR(C49=0, C49=""), NOW(), C49), "")</f>
        <v>46105.61641145833</v>
      </c>
      <c r="D49" s="1">
        <v>46101</v>
      </c>
      <c r="E49" s="5" t="s">
        <v>20</v>
      </c>
      <c r="F49" s="27" t="s">
        <v>211</v>
      </c>
      <c r="G49" s="13" t="s">
        <v>212</v>
      </c>
      <c r="H49" s="29"/>
      <c r="I49" s="42" t="s">
        <v>28</v>
      </c>
      <c r="J49" s="43">
        <v>46101</v>
      </c>
      <c r="K49" s="41">
        <v>7</v>
      </c>
      <c r="L49" s="23">
        <v>46101</v>
      </c>
      <c r="M49" s="25" t="b">
        <v>1</v>
      </c>
      <c r="N49" s="51">
        <f ca="1">IF(M49=TRUE, IF(OR(N49=0, N49=""), NOW(), N49), "")</f>
        <v>46104.400626504626</v>
      </c>
      <c r="O49" s="24">
        <v>46104</v>
      </c>
      <c r="P49" s="25" t="b">
        <v>1</v>
      </c>
      <c r="Q49" s="104" t="b">
        <v>0</v>
      </c>
      <c r="R49" s="81" t="s">
        <v>65</v>
      </c>
      <c r="S49" s="2"/>
      <c r="T49" s="2"/>
    </row>
    <row r="50" spans="1:20" hidden="1" x14ac:dyDescent="0.25">
      <c r="A50" s="53" t="s">
        <v>101</v>
      </c>
      <c r="B50" s="68" t="b">
        <v>0</v>
      </c>
      <c r="C50" s="51" t="str">
        <f ca="1">IF(B50=TRUE, IF(OR(C50=0, C50=""), NOW(), C50), "")</f>
        <v/>
      </c>
      <c r="D50" s="69">
        <v>46058</v>
      </c>
      <c r="E50" s="5" t="s">
        <v>20</v>
      </c>
      <c r="F50" s="70" t="s">
        <v>102</v>
      </c>
      <c r="G50" s="13" t="s">
        <v>103</v>
      </c>
      <c r="H50" s="29"/>
      <c r="I50" s="72" t="s">
        <v>28</v>
      </c>
      <c r="J50" s="29">
        <v>46104</v>
      </c>
      <c r="K50" s="41">
        <v>25</v>
      </c>
      <c r="L50" s="73"/>
      <c r="M50" s="74" t="b">
        <v>1</v>
      </c>
      <c r="N50" s="51">
        <f ca="1">IF(M50=TRUE, IF(OR(N50=0, N50=""), NOW(), N50), "")</f>
        <v>46100.528487847223</v>
      </c>
      <c r="O50" s="75"/>
      <c r="P50" s="103" t="b">
        <v>0</v>
      </c>
      <c r="Q50" s="107" t="b">
        <v>1</v>
      </c>
      <c r="R50" s="98" t="s">
        <v>104</v>
      </c>
      <c r="S50" s="77">
        <v>46128</v>
      </c>
      <c r="T50" s="77"/>
    </row>
    <row r="51" spans="1:20" ht="14.45" hidden="1" customHeight="1" x14ac:dyDescent="0.25">
      <c r="A51" s="53" t="s">
        <v>101</v>
      </c>
      <c r="B51" s="68" t="b">
        <v>1</v>
      </c>
      <c r="C51" s="51">
        <f ca="1">IF(B51=TRUE, IF(OR(C51=0, C51=""), NOW(), C51), "")</f>
        <v>46104.399989930556</v>
      </c>
      <c r="D51" s="69">
        <v>46059</v>
      </c>
      <c r="E51" s="5" t="s">
        <v>30</v>
      </c>
      <c r="F51" s="70" t="s">
        <v>107</v>
      </c>
      <c r="G51" s="13" t="s">
        <v>108</v>
      </c>
      <c r="H51" s="71" t="s">
        <v>109</v>
      </c>
      <c r="I51" s="72" t="s">
        <v>28</v>
      </c>
      <c r="J51" s="29">
        <v>46108</v>
      </c>
      <c r="K51" s="41">
        <v>14</v>
      </c>
      <c r="L51" s="73">
        <v>46100</v>
      </c>
      <c r="M51" s="74" t="b">
        <v>1</v>
      </c>
      <c r="N51" s="51">
        <f ca="1">IF(M51=TRUE, IF(OR(N51=0, N51=""), NOW(), N51), "")</f>
        <v>46100.350780092595</v>
      </c>
      <c r="O51" s="75">
        <v>46101</v>
      </c>
      <c r="P51" s="74" t="b">
        <v>1</v>
      </c>
      <c r="Q51" s="79" t="b">
        <v>0</v>
      </c>
      <c r="R51" s="82" t="s">
        <v>65</v>
      </c>
      <c r="S51" s="76" t="s">
        <v>110</v>
      </c>
      <c r="T51" s="77"/>
    </row>
    <row r="52" spans="1:20" hidden="1" x14ac:dyDescent="0.25">
      <c r="A52" s="53" t="s">
        <v>113</v>
      </c>
      <c r="B52" s="68" t="b">
        <v>1</v>
      </c>
      <c r="C52" s="51">
        <f ca="1">IF(B52=TRUE, IF(OR(C52=0, C52=""), NOW(), C52), "")</f>
        <v>46107.510259606483</v>
      </c>
      <c r="D52" s="69">
        <v>46062</v>
      </c>
      <c r="E52" s="5" t="s">
        <v>42</v>
      </c>
      <c r="F52" s="70" t="s">
        <v>114</v>
      </c>
      <c r="G52" s="13" t="s">
        <v>115</v>
      </c>
      <c r="H52" s="29"/>
      <c r="I52" s="72" t="s">
        <v>28</v>
      </c>
      <c r="J52" s="29">
        <v>46111</v>
      </c>
      <c r="K52" s="41">
        <v>7</v>
      </c>
      <c r="L52" s="73">
        <v>46084</v>
      </c>
      <c r="M52" s="74" t="b">
        <v>1</v>
      </c>
      <c r="N52" s="51">
        <f ca="1">IF(M52=TRUE, IF(OR(N52=0, N52=""), NOW(), N52), "")</f>
        <v>46092.68360300926</v>
      </c>
      <c r="O52" s="75">
        <v>46101</v>
      </c>
      <c r="P52" s="74" t="b">
        <v>1</v>
      </c>
      <c r="Q52" s="79" t="b">
        <v>1</v>
      </c>
      <c r="R52" s="96" t="s">
        <v>44</v>
      </c>
      <c r="S52" s="77">
        <v>46101</v>
      </c>
      <c r="T52" s="77"/>
    </row>
    <row r="53" spans="1:20" hidden="1" x14ac:dyDescent="0.25">
      <c r="A53" s="36" t="s">
        <v>120</v>
      </c>
      <c r="B53" s="4" t="b">
        <v>1</v>
      </c>
      <c r="C53" s="51"/>
      <c r="D53" s="1">
        <v>46058</v>
      </c>
      <c r="E53" s="5" t="s">
        <v>20</v>
      </c>
      <c r="F53" s="27" t="s">
        <v>74</v>
      </c>
      <c r="G53" s="13"/>
      <c r="H53" s="29"/>
      <c r="I53" s="42" t="s">
        <v>121</v>
      </c>
      <c r="J53" s="43">
        <v>46111</v>
      </c>
      <c r="K53" s="41">
        <v>7</v>
      </c>
      <c r="L53" s="23">
        <v>46081</v>
      </c>
      <c r="M53" s="25" t="b">
        <v>1</v>
      </c>
      <c r="O53" s="24">
        <v>46081</v>
      </c>
      <c r="P53" s="25" t="b">
        <v>1</v>
      </c>
      <c r="Q53" s="78" t="b">
        <v>0</v>
      </c>
      <c r="R53" s="26" t="s">
        <v>65</v>
      </c>
      <c r="S53" s="2"/>
      <c r="T53" s="2"/>
    </row>
    <row r="54" spans="1:20" hidden="1" x14ac:dyDescent="0.25">
      <c r="A54" s="53" t="s">
        <v>113</v>
      </c>
      <c r="B54" s="68" t="b">
        <v>1</v>
      </c>
      <c r="C54" s="51">
        <f t="shared" ref="C54:C65" ca="1" si="0">IF(B54=TRUE, IF(OR(C54=0, C54=""), NOW(), C54), "")</f>
        <v>46107.510259606483</v>
      </c>
      <c r="D54" s="69">
        <v>46058</v>
      </c>
      <c r="E54" s="5" t="s">
        <v>42</v>
      </c>
      <c r="F54" s="70" t="s">
        <v>116</v>
      </c>
      <c r="G54" s="13"/>
      <c r="H54" s="29"/>
      <c r="I54" s="72" t="s">
        <v>28</v>
      </c>
      <c r="J54" s="29">
        <v>46111</v>
      </c>
      <c r="K54" s="41">
        <v>7</v>
      </c>
      <c r="L54" s="73">
        <v>46084</v>
      </c>
      <c r="M54" s="74" t="b">
        <v>1</v>
      </c>
      <c r="N54" s="51">
        <f t="shared" ref="N54:N65" ca="1" si="1">IF(M54=TRUE, IF(OR(N54=0, N54=""), NOW(), N54), "")</f>
        <v>46092.68360300926</v>
      </c>
      <c r="O54" s="75">
        <v>46101</v>
      </c>
      <c r="P54" s="74" t="b">
        <v>1</v>
      </c>
      <c r="Q54" s="105" t="b">
        <v>1</v>
      </c>
      <c r="R54" s="96" t="s">
        <v>44</v>
      </c>
      <c r="S54" s="77">
        <v>46101</v>
      </c>
      <c r="T54" s="77"/>
    </row>
    <row r="55" spans="1:20" ht="14.45" hidden="1" customHeight="1" x14ac:dyDescent="0.25">
      <c r="A55" s="53" t="s">
        <v>120</v>
      </c>
      <c r="B55" s="68" t="b">
        <v>1</v>
      </c>
      <c r="C55" s="51">
        <f t="shared" ca="1" si="0"/>
        <v>46121.518916782406</v>
      </c>
      <c r="D55" s="69">
        <v>46062</v>
      </c>
      <c r="E55" s="5" t="s">
        <v>42</v>
      </c>
      <c r="F55" s="70" t="s">
        <v>122</v>
      </c>
      <c r="G55" s="13" t="s">
        <v>221</v>
      </c>
      <c r="H55" s="29" t="s">
        <v>20</v>
      </c>
      <c r="I55" s="72" t="s">
        <v>28</v>
      </c>
      <c r="J55" s="29">
        <v>46111</v>
      </c>
      <c r="K55" s="41">
        <v>7</v>
      </c>
      <c r="L55" s="73">
        <v>46108</v>
      </c>
      <c r="M55" s="74" t="b">
        <v>1</v>
      </c>
      <c r="N55" s="51">
        <f t="shared" ca="1" si="1"/>
        <v>46113.412647453704</v>
      </c>
      <c r="O55" s="75">
        <v>46116</v>
      </c>
      <c r="P55" s="103" t="b">
        <v>0</v>
      </c>
      <c r="Q55" s="107" t="b">
        <v>1</v>
      </c>
      <c r="R55" s="98" t="s">
        <v>44</v>
      </c>
      <c r="S55" s="77">
        <v>46119</v>
      </c>
      <c r="T55" s="77"/>
    </row>
    <row r="56" spans="1:20" ht="14.45" customHeight="1" x14ac:dyDescent="0.25">
      <c r="A56" s="36" t="s">
        <v>142</v>
      </c>
      <c r="B56" s="4" t="b">
        <v>0</v>
      </c>
      <c r="C56" s="51" t="str">
        <f t="shared" ca="1" si="0"/>
        <v/>
      </c>
      <c r="D56" s="1">
        <v>46062</v>
      </c>
      <c r="E56" s="5" t="s">
        <v>42</v>
      </c>
      <c r="F56" s="27" t="s">
        <v>114</v>
      </c>
      <c r="G56" s="13"/>
      <c r="H56" s="29"/>
      <c r="I56" s="42" t="s">
        <v>28</v>
      </c>
      <c r="J56" s="43">
        <v>46184</v>
      </c>
      <c r="K56" s="41">
        <v>7</v>
      </c>
      <c r="L56" s="23">
        <v>46126</v>
      </c>
      <c r="M56" s="25" t="b">
        <v>0</v>
      </c>
      <c r="N56" s="51" t="str">
        <f t="shared" ca="1" si="1"/>
        <v/>
      </c>
      <c r="O56" s="24"/>
      <c r="P56" s="102" t="b">
        <v>0</v>
      </c>
      <c r="Q56" s="106" t="b">
        <v>0</v>
      </c>
      <c r="R56" s="26"/>
      <c r="S56" s="2"/>
      <c r="T56" s="2"/>
    </row>
    <row r="57" spans="1:20" ht="14.45" hidden="1" customHeight="1" x14ac:dyDescent="0.25">
      <c r="A57" s="53" t="s">
        <v>216</v>
      </c>
      <c r="B57" s="68" t="b">
        <v>1</v>
      </c>
      <c r="C57" s="51">
        <f t="shared" ca="1" si="0"/>
        <v>46121.527805324076</v>
      </c>
      <c r="D57" s="69">
        <v>46062</v>
      </c>
      <c r="E57" s="5" t="s">
        <v>42</v>
      </c>
      <c r="F57" s="70" t="s">
        <v>218</v>
      </c>
      <c r="G57" s="13" t="s">
        <v>207</v>
      </c>
      <c r="H57" s="29"/>
      <c r="I57" s="72" t="s">
        <v>28</v>
      </c>
      <c r="J57" s="29">
        <v>46118</v>
      </c>
      <c r="K57" s="41">
        <v>14</v>
      </c>
      <c r="L57" s="73">
        <v>46106</v>
      </c>
      <c r="M57" s="74" t="b">
        <v>1</v>
      </c>
      <c r="N57" s="51">
        <f t="shared" ca="1" si="1"/>
        <v>46107.512537615738</v>
      </c>
      <c r="O57" s="75">
        <v>46117</v>
      </c>
      <c r="P57" s="103" t="b">
        <v>0</v>
      </c>
      <c r="Q57" s="107" t="b">
        <v>0</v>
      </c>
      <c r="R57" s="98" t="s">
        <v>68</v>
      </c>
      <c r="S57" s="77"/>
      <c r="T57" s="77"/>
    </row>
    <row r="58" spans="1:20" hidden="1" x14ac:dyDescent="0.25">
      <c r="A58" s="36" t="s">
        <v>217</v>
      </c>
      <c r="B58" s="4" t="b">
        <v>1</v>
      </c>
      <c r="C58" s="51">
        <f t="shared" ca="1" si="0"/>
        <v>46135.529121990738</v>
      </c>
      <c r="D58" s="1">
        <v>46062</v>
      </c>
      <c r="E58" s="5" t="s">
        <v>42</v>
      </c>
      <c r="F58" s="27" t="s">
        <v>218</v>
      </c>
      <c r="G58" s="13" t="s">
        <v>224</v>
      </c>
      <c r="H58" s="29"/>
      <c r="I58" s="42" t="s">
        <v>28</v>
      </c>
      <c r="J58" s="43">
        <v>46118</v>
      </c>
      <c r="K58" s="41">
        <v>7</v>
      </c>
      <c r="L58" s="23">
        <v>46118</v>
      </c>
      <c r="M58" s="25" t="b">
        <v>1</v>
      </c>
      <c r="N58" s="51">
        <f t="shared" ca="1" si="1"/>
        <v>46135.529121990738</v>
      </c>
      <c r="O58" s="24">
        <v>46128</v>
      </c>
      <c r="P58" s="102" t="b">
        <v>1</v>
      </c>
      <c r="Q58" s="106" t="b">
        <v>0</v>
      </c>
      <c r="R58" s="26" t="s">
        <v>68</v>
      </c>
      <c r="S58" s="2"/>
      <c r="T58" s="2"/>
    </row>
    <row r="59" spans="1:20" ht="14.45" hidden="1" customHeight="1" x14ac:dyDescent="0.25">
      <c r="A59" s="53" t="s">
        <v>123</v>
      </c>
      <c r="B59" s="68" t="b">
        <v>1</v>
      </c>
      <c r="C59" s="51">
        <f t="shared" ca="1" si="0"/>
        <v>46107.510259606483</v>
      </c>
      <c r="D59" s="69">
        <v>46062</v>
      </c>
      <c r="E59" s="5" t="s">
        <v>42</v>
      </c>
      <c r="F59" s="70" t="s">
        <v>124</v>
      </c>
      <c r="G59" s="13" t="s">
        <v>125</v>
      </c>
      <c r="H59" s="29"/>
      <c r="I59" s="72">
        <v>46108</v>
      </c>
      <c r="J59" s="29">
        <v>46118</v>
      </c>
      <c r="K59" s="41">
        <v>21</v>
      </c>
      <c r="L59" s="73" t="s">
        <v>70</v>
      </c>
      <c r="M59" s="74" t="b">
        <v>1</v>
      </c>
      <c r="N59" s="51">
        <f t="shared" ca="1" si="1"/>
        <v>46093.595403009262</v>
      </c>
      <c r="O59" s="75" t="s">
        <v>70</v>
      </c>
      <c r="P59" s="103" t="b">
        <v>1</v>
      </c>
      <c r="Q59" s="107" t="b">
        <v>1</v>
      </c>
      <c r="R59" s="98" t="s">
        <v>119</v>
      </c>
      <c r="S59" s="77">
        <v>46108</v>
      </c>
      <c r="T59" s="77"/>
    </row>
    <row r="60" spans="1:20" ht="14.45" hidden="1" customHeight="1" x14ac:dyDescent="0.25">
      <c r="A60" s="36" t="s">
        <v>19</v>
      </c>
      <c r="B60" s="4" t="b">
        <v>1</v>
      </c>
      <c r="C60" s="51">
        <f t="shared" ca="1" si="0"/>
        <v>46135.529121990738</v>
      </c>
      <c r="D60" s="1">
        <v>46100</v>
      </c>
      <c r="E60" s="5" t="s">
        <v>30</v>
      </c>
      <c r="F60" s="27" t="s">
        <v>231</v>
      </c>
      <c r="G60" s="13" t="s">
        <v>230</v>
      </c>
      <c r="H60" s="29"/>
      <c r="I60" s="42" t="s">
        <v>28</v>
      </c>
      <c r="J60" s="43">
        <v>46120</v>
      </c>
      <c r="K60" s="41">
        <v>7</v>
      </c>
      <c r="L60" s="23">
        <v>46122</v>
      </c>
      <c r="M60" s="25" t="b">
        <v>1</v>
      </c>
      <c r="N60" s="51">
        <f t="shared" ca="1" si="1"/>
        <v>46113.411965740743</v>
      </c>
      <c r="O60" s="24">
        <v>46122</v>
      </c>
      <c r="P60" s="25" t="b">
        <v>1</v>
      </c>
      <c r="Q60" s="104" t="b">
        <v>0</v>
      </c>
      <c r="R60" s="81" t="s">
        <v>65</v>
      </c>
      <c r="S60" s="2"/>
      <c r="T60" s="2"/>
    </row>
    <row r="61" spans="1:20" ht="14.45" hidden="1" customHeight="1" x14ac:dyDescent="0.25">
      <c r="A61" s="36" t="s">
        <v>33</v>
      </c>
      <c r="B61" s="4" t="b">
        <v>1</v>
      </c>
      <c r="C61" s="51">
        <f t="shared" ca="1" si="0"/>
        <v>46120.336885416669</v>
      </c>
      <c r="D61" s="1">
        <v>46114</v>
      </c>
      <c r="E61" s="5" t="s">
        <v>30</v>
      </c>
      <c r="F61" s="27"/>
      <c r="G61" s="13" t="s">
        <v>225</v>
      </c>
      <c r="H61" s="29"/>
      <c r="I61" s="42"/>
      <c r="J61" s="43">
        <v>46121</v>
      </c>
      <c r="K61" s="41">
        <v>7</v>
      </c>
      <c r="L61" s="23">
        <v>46120</v>
      </c>
      <c r="M61" s="25" t="b">
        <v>1</v>
      </c>
      <c r="N61" s="51">
        <f t="shared" ca="1" si="1"/>
        <v>46120.336912268518</v>
      </c>
      <c r="O61" s="24">
        <v>46121</v>
      </c>
      <c r="P61" s="102" t="b">
        <v>1</v>
      </c>
      <c r="Q61" s="106" t="b">
        <v>0</v>
      </c>
      <c r="R61" s="26" t="s">
        <v>65</v>
      </c>
      <c r="S61" s="2"/>
      <c r="T61" s="2"/>
    </row>
    <row r="62" spans="1:20" ht="14.45" hidden="1" customHeight="1" x14ac:dyDescent="0.25">
      <c r="A62" s="36" t="s">
        <v>120</v>
      </c>
      <c r="B62" s="4" t="b">
        <v>1</v>
      </c>
      <c r="C62" s="51">
        <f t="shared" ca="1" si="0"/>
        <v>46135.529121990738</v>
      </c>
      <c r="D62" s="1">
        <v>46062</v>
      </c>
      <c r="E62" s="5" t="s">
        <v>42</v>
      </c>
      <c r="F62" s="27" t="s">
        <v>122</v>
      </c>
      <c r="G62" s="13" t="s">
        <v>220</v>
      </c>
      <c r="H62" s="29" t="s">
        <v>20</v>
      </c>
      <c r="I62" s="42" t="s">
        <v>28</v>
      </c>
      <c r="J62" s="43">
        <v>46122</v>
      </c>
      <c r="K62" s="41">
        <v>7</v>
      </c>
      <c r="L62" s="23">
        <v>46122</v>
      </c>
      <c r="M62" s="25" t="b">
        <v>1</v>
      </c>
      <c r="N62" s="51">
        <f t="shared" ca="1" si="1"/>
        <v>46135.529121990738</v>
      </c>
      <c r="O62" s="24">
        <v>46132</v>
      </c>
      <c r="P62" s="25" t="b">
        <v>0</v>
      </c>
      <c r="Q62" s="78" t="b">
        <v>0</v>
      </c>
      <c r="R62" s="81" t="s">
        <v>219</v>
      </c>
      <c r="S62" s="2"/>
      <c r="T62" s="2"/>
    </row>
    <row r="63" spans="1:20" ht="14.45" hidden="1" customHeight="1" x14ac:dyDescent="0.25">
      <c r="A63" s="36" t="s">
        <v>127</v>
      </c>
      <c r="B63" s="4" t="b">
        <v>0</v>
      </c>
      <c r="C63" s="51" t="str">
        <f t="shared" ca="1" si="0"/>
        <v/>
      </c>
      <c r="D63" s="1">
        <v>46062</v>
      </c>
      <c r="E63" s="5" t="s">
        <v>42</v>
      </c>
      <c r="F63" s="27" t="s">
        <v>122</v>
      </c>
      <c r="G63" s="13" t="s">
        <v>251</v>
      </c>
      <c r="H63" s="29"/>
      <c r="I63" s="42" t="s">
        <v>28</v>
      </c>
      <c r="J63" s="43">
        <v>46125</v>
      </c>
      <c r="K63" s="41">
        <v>7</v>
      </c>
      <c r="L63" s="23">
        <v>46147</v>
      </c>
      <c r="M63" s="25" t="b">
        <v>0</v>
      </c>
      <c r="N63" s="51" t="str">
        <f t="shared" ca="1" si="1"/>
        <v/>
      </c>
      <c r="O63" s="24">
        <v>46154</v>
      </c>
      <c r="P63" s="25" t="b">
        <v>0</v>
      </c>
      <c r="Q63" s="78" t="b">
        <v>0</v>
      </c>
      <c r="R63" s="81" t="s">
        <v>78</v>
      </c>
      <c r="S63" s="2"/>
      <c r="T63" s="2"/>
    </row>
    <row r="64" spans="1:20" ht="14.45" hidden="1" customHeight="1" x14ac:dyDescent="0.25">
      <c r="A64" s="36" t="s">
        <v>240</v>
      </c>
      <c r="B64" s="4" t="b">
        <v>1</v>
      </c>
      <c r="C64" s="51">
        <f t="shared" ca="1" si="0"/>
        <v>46135.529121990738</v>
      </c>
      <c r="D64" s="1">
        <v>46128</v>
      </c>
      <c r="E64" s="5" t="s">
        <v>30</v>
      </c>
      <c r="F64" s="27" t="s">
        <v>241</v>
      </c>
      <c r="G64" s="13"/>
      <c r="H64" s="29"/>
      <c r="I64" s="42" t="s">
        <v>28</v>
      </c>
      <c r="J64" s="43">
        <v>46132</v>
      </c>
      <c r="K64" s="41">
        <v>7</v>
      </c>
      <c r="L64" s="23">
        <v>46129</v>
      </c>
      <c r="M64" s="25" t="b">
        <v>1</v>
      </c>
      <c r="N64" s="51">
        <f t="shared" ca="1" si="1"/>
        <v>46135.529121990738</v>
      </c>
      <c r="O64" s="24">
        <v>46132</v>
      </c>
      <c r="P64" s="25" t="b">
        <v>1</v>
      </c>
      <c r="Q64" s="78" t="b">
        <v>0</v>
      </c>
      <c r="R64" s="81" t="s">
        <v>65</v>
      </c>
      <c r="S64" s="2"/>
      <c r="T64" s="2"/>
    </row>
    <row r="65" spans="1:20" ht="14.45" customHeight="1" x14ac:dyDescent="0.25">
      <c r="A65" s="36" t="s">
        <v>142</v>
      </c>
      <c r="B65" s="4" t="b">
        <v>0</v>
      </c>
      <c r="C65" s="51" t="str">
        <f t="shared" ca="1" si="0"/>
        <v/>
      </c>
      <c r="D65" s="1">
        <v>46058</v>
      </c>
      <c r="E65" s="5" t="s">
        <v>42</v>
      </c>
      <c r="F65" s="27" t="s">
        <v>116</v>
      </c>
      <c r="G65" s="13"/>
      <c r="H65" s="29"/>
      <c r="I65" s="42" t="s">
        <v>28</v>
      </c>
      <c r="J65" s="43">
        <v>46184</v>
      </c>
      <c r="K65" s="41">
        <v>7</v>
      </c>
      <c r="L65" s="23">
        <v>46127</v>
      </c>
      <c r="M65" s="25" t="b">
        <v>0</v>
      </c>
      <c r="N65" s="51" t="str">
        <f t="shared" ca="1" si="1"/>
        <v/>
      </c>
      <c r="O65" s="24"/>
      <c r="P65" s="25" t="b">
        <v>0</v>
      </c>
      <c r="Q65" s="78" t="b">
        <v>0</v>
      </c>
      <c r="R65" s="81"/>
      <c r="S65" s="2"/>
      <c r="T65" s="2"/>
    </row>
    <row r="66" spans="1:20" ht="14.45" hidden="1" customHeight="1" x14ac:dyDescent="0.25">
      <c r="A66" s="53" t="s">
        <v>73</v>
      </c>
      <c r="B66" s="68" t="b">
        <v>1</v>
      </c>
      <c r="C66" s="51"/>
      <c r="D66" s="69">
        <v>46128</v>
      </c>
      <c r="E66" s="5" t="s">
        <v>30</v>
      </c>
      <c r="F66" s="70" t="s">
        <v>237</v>
      </c>
      <c r="G66" s="13"/>
      <c r="H66" s="29"/>
      <c r="I66" s="38" t="s">
        <v>28</v>
      </c>
      <c r="J66" s="29">
        <v>46132</v>
      </c>
      <c r="K66" s="41">
        <v>1</v>
      </c>
      <c r="L66" s="73">
        <v>46128</v>
      </c>
      <c r="M66" s="74" t="b">
        <v>1</v>
      </c>
      <c r="O66" s="75">
        <v>46129</v>
      </c>
      <c r="P66" s="74" t="b">
        <v>1</v>
      </c>
      <c r="Q66" s="79" t="b">
        <v>0</v>
      </c>
      <c r="R66" s="82" t="s">
        <v>68</v>
      </c>
      <c r="S66" s="77"/>
      <c r="T66" s="77"/>
    </row>
    <row r="67" spans="1:20" ht="14.45" hidden="1" customHeight="1" x14ac:dyDescent="0.25">
      <c r="A67" s="36" t="s">
        <v>113</v>
      </c>
      <c r="B67" s="4" t="b">
        <v>0</v>
      </c>
      <c r="C67" s="51" t="str">
        <f t="shared" ref="C67:C103" ca="1" si="2">IF(B67=TRUE, IF(OR(C67=0, C67=""), NOW(), C67), "")</f>
        <v/>
      </c>
      <c r="D67" s="1">
        <v>46058</v>
      </c>
      <c r="E67" s="5" t="s">
        <v>42</v>
      </c>
      <c r="F67" s="27" t="s">
        <v>128</v>
      </c>
      <c r="G67" s="50" t="s">
        <v>129</v>
      </c>
      <c r="H67" s="29"/>
      <c r="I67" s="42" t="s">
        <v>28</v>
      </c>
      <c r="J67" s="43">
        <v>46129</v>
      </c>
      <c r="K67" s="41">
        <v>7</v>
      </c>
      <c r="L67" s="23"/>
      <c r="M67" s="25" t="b">
        <v>1</v>
      </c>
      <c r="N67" s="51">
        <f t="shared" ref="N67:N98" ca="1" si="3">IF(M67=TRUE, IF(OR(N67=0, N67=""), NOW(), N67), "")</f>
        <v>46135.529121990738</v>
      </c>
      <c r="O67" s="24"/>
      <c r="P67" s="25" t="b">
        <v>0</v>
      </c>
      <c r="Q67" s="78" t="b">
        <v>1</v>
      </c>
      <c r="R67" s="81" t="s">
        <v>44</v>
      </c>
      <c r="S67" s="2"/>
      <c r="T67" s="2"/>
    </row>
    <row r="68" spans="1:20" hidden="1" x14ac:dyDescent="0.25">
      <c r="A68" s="36" t="s">
        <v>131</v>
      </c>
      <c r="B68" s="4" t="b">
        <v>1</v>
      </c>
      <c r="C68" s="51">
        <f t="shared" ca="1" si="2"/>
        <v>46135.529121990738</v>
      </c>
      <c r="D68" s="1">
        <v>46058</v>
      </c>
      <c r="E68" s="5" t="s">
        <v>20</v>
      </c>
      <c r="F68" s="27" t="s">
        <v>134</v>
      </c>
      <c r="G68" s="13" t="s">
        <v>135</v>
      </c>
      <c r="H68" s="29"/>
      <c r="I68" s="42" t="s">
        <v>28</v>
      </c>
      <c r="J68" s="43">
        <v>46132</v>
      </c>
      <c r="K68" s="41">
        <v>7</v>
      </c>
      <c r="L68" s="23"/>
      <c r="M68" s="25" t="b">
        <v>1</v>
      </c>
      <c r="N68" s="51">
        <f t="shared" ca="1" si="3"/>
        <v>46135.529121990738</v>
      </c>
      <c r="O68" s="24"/>
      <c r="P68" s="25" t="b">
        <v>1</v>
      </c>
      <c r="Q68" s="78" t="b">
        <v>1</v>
      </c>
      <c r="R68" s="81" t="s">
        <v>136</v>
      </c>
      <c r="S68" s="2"/>
      <c r="T68" s="2">
        <v>46132</v>
      </c>
    </row>
    <row r="69" spans="1:20" ht="14.45" hidden="1" customHeight="1" x14ac:dyDescent="0.25">
      <c r="A69" s="36" t="s">
        <v>137</v>
      </c>
      <c r="B69" s="4" t="b">
        <v>0</v>
      </c>
      <c r="C69" s="51" t="str">
        <f t="shared" ca="1" si="2"/>
        <v/>
      </c>
      <c r="D69" s="1">
        <v>46062</v>
      </c>
      <c r="E69" s="5" t="s">
        <v>42</v>
      </c>
      <c r="F69" s="27" t="s">
        <v>238</v>
      </c>
      <c r="G69" s="13" t="s">
        <v>245</v>
      </c>
      <c r="H69" s="29"/>
      <c r="I69" s="42" t="s">
        <v>28</v>
      </c>
      <c r="J69" s="43">
        <v>46132</v>
      </c>
      <c r="K69" s="41">
        <v>7</v>
      </c>
      <c r="L69" s="23">
        <v>46135</v>
      </c>
      <c r="M69" s="25" t="b">
        <v>0</v>
      </c>
      <c r="N69" s="51" t="str">
        <f t="shared" ca="1" si="3"/>
        <v/>
      </c>
      <c r="O69" s="24">
        <v>46139</v>
      </c>
      <c r="P69" s="25" t="b">
        <v>0</v>
      </c>
      <c r="Q69" s="78" t="b">
        <v>0</v>
      </c>
      <c r="R69" s="81" t="s">
        <v>65</v>
      </c>
      <c r="S69" s="2"/>
      <c r="T69" s="2"/>
    </row>
    <row r="70" spans="1:20" ht="14.45" customHeight="1" x14ac:dyDescent="0.25">
      <c r="A70" s="36" t="s">
        <v>97</v>
      </c>
      <c r="B70" s="4" t="b">
        <v>0</v>
      </c>
      <c r="C70" s="51" t="str">
        <f t="shared" ca="1" si="2"/>
        <v/>
      </c>
      <c r="D70" s="1">
        <v>46062</v>
      </c>
      <c r="E70" s="5" t="s">
        <v>42</v>
      </c>
      <c r="F70" s="27" t="s">
        <v>111</v>
      </c>
      <c r="G70" s="13" t="s">
        <v>222</v>
      </c>
      <c r="H70" s="29"/>
      <c r="I70" s="42" t="s">
        <v>28</v>
      </c>
      <c r="J70" s="43">
        <v>46111</v>
      </c>
      <c r="K70" s="41">
        <v>7</v>
      </c>
      <c r="L70" s="23">
        <v>46129</v>
      </c>
      <c r="M70" s="25" t="b">
        <v>1</v>
      </c>
      <c r="N70" s="51">
        <f t="shared" ca="1" si="3"/>
        <v>46105.61641145833</v>
      </c>
      <c r="O70" s="24">
        <v>46135</v>
      </c>
      <c r="P70" s="25" t="b">
        <v>0</v>
      </c>
      <c r="Q70" s="78" t="b">
        <v>0</v>
      </c>
      <c r="R70" s="81" t="s">
        <v>68</v>
      </c>
      <c r="S70" s="2"/>
      <c r="T70" s="2"/>
    </row>
    <row r="71" spans="1:20" ht="14.45" hidden="1" customHeight="1" x14ac:dyDescent="0.25">
      <c r="A71" s="36" t="s">
        <v>127</v>
      </c>
      <c r="B71" s="4" t="b">
        <v>1</v>
      </c>
      <c r="C71" s="51">
        <f t="shared" ca="1" si="2"/>
        <v>46135.529121990738</v>
      </c>
      <c r="D71" s="1">
        <v>46062</v>
      </c>
      <c r="E71" s="5" t="s">
        <v>42</v>
      </c>
      <c r="F71" s="27" t="s">
        <v>233</v>
      </c>
      <c r="G71" s="13" t="s">
        <v>249</v>
      </c>
      <c r="H71" s="29" t="s">
        <v>250</v>
      </c>
      <c r="I71" s="72" t="s">
        <v>28</v>
      </c>
      <c r="J71" s="43">
        <v>46135</v>
      </c>
      <c r="K71" s="41">
        <v>7</v>
      </c>
      <c r="L71" s="23"/>
      <c r="M71" s="25" t="b">
        <v>1</v>
      </c>
      <c r="N71" s="51">
        <f t="shared" ca="1" si="3"/>
        <v>46135.529121990738</v>
      </c>
      <c r="O71" s="24"/>
      <c r="P71" s="25" t="b">
        <v>1</v>
      </c>
      <c r="Q71" s="78" t="b">
        <v>1</v>
      </c>
      <c r="R71" s="81" t="s">
        <v>234</v>
      </c>
      <c r="S71" s="2">
        <v>46122</v>
      </c>
      <c r="T71" s="2">
        <v>46120</v>
      </c>
    </row>
    <row r="72" spans="1:20" ht="14.45" hidden="1" customHeight="1" x14ac:dyDescent="0.25">
      <c r="A72" s="36" t="s">
        <v>127</v>
      </c>
      <c r="B72" s="4" t="b">
        <v>0</v>
      </c>
      <c r="C72" s="51" t="str">
        <f t="shared" ca="1" si="2"/>
        <v/>
      </c>
      <c r="D72" s="1">
        <v>46062</v>
      </c>
      <c r="E72" s="100" t="s">
        <v>42</v>
      </c>
      <c r="F72" s="101" t="s">
        <v>232</v>
      </c>
      <c r="G72" s="7" t="s">
        <v>246</v>
      </c>
      <c r="H72" s="29"/>
      <c r="I72" s="42" t="s">
        <v>28</v>
      </c>
      <c r="J72" s="43">
        <v>46135</v>
      </c>
      <c r="K72" s="41">
        <v>7</v>
      </c>
      <c r="L72" s="23"/>
      <c r="M72" s="25" t="b">
        <v>0</v>
      </c>
      <c r="N72" s="51" t="str">
        <f t="shared" ca="1" si="3"/>
        <v/>
      </c>
      <c r="O72" s="24"/>
      <c r="P72" s="25" t="b">
        <v>0</v>
      </c>
      <c r="Q72" s="78" t="b">
        <v>0</v>
      </c>
      <c r="R72" s="81" t="s">
        <v>65</v>
      </c>
      <c r="S72" s="2"/>
      <c r="T72" s="2"/>
    </row>
    <row r="73" spans="1:20" ht="14.45" hidden="1" customHeight="1" x14ac:dyDescent="0.25">
      <c r="A73" s="36" t="s">
        <v>253</v>
      </c>
      <c r="B73" s="4" t="b">
        <v>0</v>
      </c>
      <c r="C73" s="51" t="str">
        <f t="shared" ca="1" si="2"/>
        <v/>
      </c>
      <c r="D73" s="1">
        <v>46134</v>
      </c>
      <c r="E73" s="100" t="s">
        <v>20</v>
      </c>
      <c r="F73" s="101" t="s">
        <v>24</v>
      </c>
      <c r="G73" s="13" t="s">
        <v>254</v>
      </c>
      <c r="H73" s="29"/>
      <c r="I73" s="42" t="s">
        <v>28</v>
      </c>
      <c r="J73" s="43">
        <v>46136</v>
      </c>
      <c r="K73" s="41">
        <v>7</v>
      </c>
      <c r="L73" s="23">
        <v>46134</v>
      </c>
      <c r="M73" s="25" t="b">
        <v>1</v>
      </c>
      <c r="N73" s="51">
        <f t="shared" ca="1" si="3"/>
        <v>46135.529121990738</v>
      </c>
      <c r="O73" s="24">
        <v>46135</v>
      </c>
      <c r="P73" s="25" t="b">
        <v>0</v>
      </c>
      <c r="Q73" s="78" t="b">
        <v>0</v>
      </c>
      <c r="R73" s="81" t="s">
        <v>65</v>
      </c>
      <c r="S73" s="2"/>
      <c r="T73" s="2"/>
    </row>
    <row r="74" spans="1:20" ht="14.45" hidden="1" customHeight="1" x14ac:dyDescent="0.25">
      <c r="A74" s="36" t="s">
        <v>137</v>
      </c>
      <c r="B74" s="4" t="b">
        <v>0</v>
      </c>
      <c r="C74" s="51" t="str">
        <f t="shared" ca="1" si="2"/>
        <v/>
      </c>
      <c r="D74" s="1">
        <v>46064</v>
      </c>
      <c r="E74" s="100" t="s">
        <v>42</v>
      </c>
      <c r="F74" s="27" t="s">
        <v>140</v>
      </c>
      <c r="G74" s="13" t="s">
        <v>215</v>
      </c>
      <c r="H74" s="29"/>
      <c r="I74" s="42" t="s">
        <v>28</v>
      </c>
      <c r="J74" s="43">
        <v>46139</v>
      </c>
      <c r="K74" s="41">
        <v>7</v>
      </c>
      <c r="L74" s="23">
        <v>46139</v>
      </c>
      <c r="M74" s="25" t="b">
        <v>0</v>
      </c>
      <c r="N74" s="51" t="str">
        <f t="shared" ca="1" si="3"/>
        <v/>
      </c>
      <c r="O74" s="24">
        <v>46147</v>
      </c>
      <c r="P74" s="25" t="b">
        <v>0</v>
      </c>
      <c r="Q74" s="78" t="b">
        <v>0</v>
      </c>
      <c r="R74" s="81" t="s">
        <v>65</v>
      </c>
      <c r="S74" s="2"/>
      <c r="T74" s="2"/>
    </row>
    <row r="75" spans="1:20" ht="14.45" hidden="1" customHeight="1" x14ac:dyDescent="0.25">
      <c r="A75" s="36" t="s">
        <v>137</v>
      </c>
      <c r="B75" s="4" t="b">
        <v>1</v>
      </c>
      <c r="C75" s="51">
        <f t="shared" ca="1" si="2"/>
        <v>46135.529121990738</v>
      </c>
      <c r="D75" s="1">
        <v>46064</v>
      </c>
      <c r="E75" s="100" t="s">
        <v>42</v>
      </c>
      <c r="F75" s="27" t="s">
        <v>124</v>
      </c>
      <c r="G75" t="s">
        <v>252</v>
      </c>
      <c r="H75" s="29"/>
      <c r="I75" s="42">
        <v>46132</v>
      </c>
      <c r="J75" s="43">
        <v>46139</v>
      </c>
      <c r="K75" s="41">
        <v>7</v>
      </c>
      <c r="L75" s="23"/>
      <c r="M75" s="25" t="b">
        <v>1</v>
      </c>
      <c r="N75" s="51">
        <f t="shared" ca="1" si="3"/>
        <v>46135.529121990738</v>
      </c>
      <c r="O75" s="24"/>
      <c r="P75" s="25" t="b">
        <v>0</v>
      </c>
      <c r="Q75" s="78" t="b">
        <v>1</v>
      </c>
      <c r="R75" s="81" t="s">
        <v>239</v>
      </c>
      <c r="S75" s="2">
        <v>46132</v>
      </c>
      <c r="T75" s="2">
        <v>46129</v>
      </c>
    </row>
    <row r="76" spans="1:20" ht="14.45" customHeight="1" x14ac:dyDescent="0.25">
      <c r="A76" s="36" t="s">
        <v>97</v>
      </c>
      <c r="B76" s="4" t="b">
        <v>0</v>
      </c>
      <c r="C76" s="51" t="str">
        <f t="shared" ca="1" si="2"/>
        <v/>
      </c>
      <c r="D76" s="1">
        <v>46062</v>
      </c>
      <c r="E76" s="100" t="s">
        <v>42</v>
      </c>
      <c r="F76" s="27" t="s">
        <v>126</v>
      </c>
      <c r="G76" s="13" t="s">
        <v>112</v>
      </c>
      <c r="H76" s="29"/>
      <c r="I76" s="42" t="s">
        <v>28</v>
      </c>
      <c r="J76" s="43">
        <v>46125</v>
      </c>
      <c r="K76" s="41">
        <v>7</v>
      </c>
      <c r="L76" s="23">
        <v>46136</v>
      </c>
      <c r="M76" s="25" t="b">
        <v>0</v>
      </c>
      <c r="N76" s="51" t="str">
        <f t="shared" ca="1" si="3"/>
        <v/>
      </c>
      <c r="O76" s="24">
        <v>46144</v>
      </c>
      <c r="P76" s="25" t="b">
        <v>0</v>
      </c>
      <c r="Q76" s="78" t="b">
        <v>0</v>
      </c>
      <c r="R76" s="81" t="s">
        <v>68</v>
      </c>
      <c r="S76" s="2"/>
      <c r="T76" s="2"/>
    </row>
    <row r="77" spans="1:20" ht="14.45" customHeight="1" x14ac:dyDescent="0.25">
      <c r="A77" s="36" t="s">
        <v>131</v>
      </c>
      <c r="B77" s="4" t="b">
        <v>0</v>
      </c>
      <c r="C77" s="51" t="str">
        <f t="shared" ca="1" si="2"/>
        <v/>
      </c>
      <c r="D77" s="1">
        <v>46059</v>
      </c>
      <c r="E77" s="100" t="s">
        <v>30</v>
      </c>
      <c r="F77" s="27" t="s">
        <v>132</v>
      </c>
      <c r="G77" s="13" t="s">
        <v>133</v>
      </c>
      <c r="H77" s="29"/>
      <c r="I77" s="109">
        <v>46142</v>
      </c>
      <c r="J77" s="43">
        <v>46132</v>
      </c>
      <c r="K77" s="41">
        <v>7</v>
      </c>
      <c r="L77" s="23">
        <v>46144</v>
      </c>
      <c r="M77" s="25" t="b">
        <v>0</v>
      </c>
      <c r="N77" s="51" t="str">
        <f t="shared" ca="1" si="3"/>
        <v/>
      </c>
      <c r="O77" s="24">
        <v>46153</v>
      </c>
      <c r="P77" s="25" t="b">
        <v>0</v>
      </c>
      <c r="Q77" s="78" t="b">
        <v>0</v>
      </c>
      <c r="R77" s="81" t="s">
        <v>68</v>
      </c>
      <c r="S77" s="2"/>
      <c r="T77" s="2"/>
    </row>
    <row r="78" spans="1:20" ht="14.45" customHeight="1" x14ac:dyDescent="0.25">
      <c r="A78" s="36" t="s">
        <v>131</v>
      </c>
      <c r="B78" s="4" t="b">
        <v>0</v>
      </c>
      <c r="C78" s="51" t="str">
        <f t="shared" ca="1" si="2"/>
        <v/>
      </c>
      <c r="D78" s="1">
        <v>46059</v>
      </c>
      <c r="E78" s="100" t="s">
        <v>30</v>
      </c>
      <c r="F78" s="27" t="s">
        <v>139</v>
      </c>
      <c r="G78" s="13" t="s">
        <v>133</v>
      </c>
      <c r="H78" s="29"/>
      <c r="I78" s="109">
        <v>46142</v>
      </c>
      <c r="J78" s="43">
        <v>46139</v>
      </c>
      <c r="K78" s="41">
        <v>7</v>
      </c>
      <c r="L78" s="23">
        <v>46154</v>
      </c>
      <c r="M78" s="25" t="b">
        <v>0</v>
      </c>
      <c r="N78" s="51" t="str">
        <f t="shared" ca="1" si="3"/>
        <v/>
      </c>
      <c r="O78" s="24">
        <v>46163</v>
      </c>
      <c r="P78" s="25" t="b">
        <v>0</v>
      </c>
      <c r="Q78" s="78" t="b">
        <v>0</v>
      </c>
      <c r="R78" s="81" t="s">
        <v>68</v>
      </c>
      <c r="S78" s="2"/>
      <c r="T78" s="2"/>
    </row>
    <row r="79" spans="1:20" ht="14.45" customHeight="1" x14ac:dyDescent="0.25">
      <c r="A79" s="36" t="s">
        <v>144</v>
      </c>
      <c r="B79" s="4" t="b">
        <v>0</v>
      </c>
      <c r="C79" s="51" t="str">
        <f t="shared" ca="1" si="2"/>
        <v/>
      </c>
      <c r="D79" s="1">
        <v>46058</v>
      </c>
      <c r="E79" s="100" t="s">
        <v>42</v>
      </c>
      <c r="F79" s="27" t="s">
        <v>114</v>
      </c>
      <c r="G79" s="13"/>
      <c r="H79" s="29"/>
      <c r="I79" s="42" t="s">
        <v>28</v>
      </c>
      <c r="J79" s="43">
        <v>46192</v>
      </c>
      <c r="K79" s="41">
        <v>7</v>
      </c>
      <c r="L79" s="23">
        <v>46167</v>
      </c>
      <c r="M79" s="25" t="b">
        <v>0</v>
      </c>
      <c r="N79" s="51" t="str">
        <f t="shared" ca="1" si="3"/>
        <v/>
      </c>
      <c r="O79" s="24"/>
      <c r="P79" s="25" t="b">
        <v>0</v>
      </c>
      <c r="Q79" s="78" t="b">
        <v>0</v>
      </c>
      <c r="R79" s="81"/>
      <c r="S79" s="2"/>
      <c r="T79" s="2"/>
    </row>
    <row r="80" spans="1:20" ht="14.45" customHeight="1" x14ac:dyDescent="0.25">
      <c r="A80" s="36" t="s">
        <v>144</v>
      </c>
      <c r="B80" s="4" t="b">
        <v>0</v>
      </c>
      <c r="C80" s="51" t="str">
        <f t="shared" ca="1" si="2"/>
        <v/>
      </c>
      <c r="D80" s="1">
        <v>46062</v>
      </c>
      <c r="E80" s="100" t="s">
        <v>42</v>
      </c>
      <c r="F80" s="27" t="s">
        <v>116</v>
      </c>
      <c r="G80" s="13"/>
      <c r="H80" s="29"/>
      <c r="I80" s="42" t="s">
        <v>28</v>
      </c>
      <c r="J80" s="43">
        <v>46192</v>
      </c>
      <c r="K80" s="41">
        <v>7</v>
      </c>
      <c r="L80" s="23">
        <v>46168</v>
      </c>
      <c r="M80" s="25" t="b">
        <v>0</v>
      </c>
      <c r="N80" s="51" t="str">
        <f t="shared" ca="1" si="3"/>
        <v/>
      </c>
      <c r="O80" s="24"/>
      <c r="P80" s="25" t="b">
        <v>0</v>
      </c>
      <c r="Q80" s="78" t="b">
        <v>0</v>
      </c>
      <c r="R80" s="81"/>
      <c r="S80" s="2"/>
      <c r="T80" s="2"/>
    </row>
    <row r="81" spans="1:20" ht="14.45" customHeight="1" x14ac:dyDescent="0.25">
      <c r="A81" s="36" t="s">
        <v>153</v>
      </c>
      <c r="B81" s="4" t="b">
        <v>0</v>
      </c>
      <c r="C81" s="51" t="str">
        <f t="shared" ca="1" si="2"/>
        <v/>
      </c>
      <c r="D81" s="1">
        <v>46058</v>
      </c>
      <c r="E81" s="100" t="s">
        <v>42</v>
      </c>
      <c r="F81" s="27" t="s">
        <v>148</v>
      </c>
      <c r="G81" s="13" t="s">
        <v>154</v>
      </c>
      <c r="H81" s="29"/>
      <c r="I81" s="72">
        <v>46193</v>
      </c>
      <c r="J81" s="43">
        <v>46342</v>
      </c>
      <c r="K81" s="41">
        <v>7</v>
      </c>
      <c r="L81" s="23">
        <v>46202</v>
      </c>
      <c r="M81" s="25" t="b">
        <v>0</v>
      </c>
      <c r="N81" s="51" t="str">
        <f t="shared" ca="1" si="3"/>
        <v/>
      </c>
      <c r="O81" s="24">
        <v>46262</v>
      </c>
      <c r="P81" s="25" t="b">
        <v>0</v>
      </c>
      <c r="Q81" s="78" t="b">
        <v>0</v>
      </c>
      <c r="R81" s="81" t="s">
        <v>138</v>
      </c>
      <c r="S81" s="2"/>
      <c r="T81" s="2"/>
    </row>
    <row r="82" spans="1:20" ht="14.45" customHeight="1" x14ac:dyDescent="0.25">
      <c r="A82" s="36" t="s">
        <v>157</v>
      </c>
      <c r="B82" s="4" t="b">
        <v>0</v>
      </c>
      <c r="C82" s="51" t="str">
        <f t="shared" ca="1" si="2"/>
        <v/>
      </c>
      <c r="D82" s="1">
        <v>46058</v>
      </c>
      <c r="E82" s="100" t="s">
        <v>42</v>
      </c>
      <c r="F82" s="27" t="s">
        <v>148</v>
      </c>
      <c r="G82" s="13" t="s">
        <v>154</v>
      </c>
      <c r="H82" s="29"/>
      <c r="I82" s="72">
        <v>46193</v>
      </c>
      <c r="J82" s="43">
        <v>46371</v>
      </c>
      <c r="K82" s="41">
        <v>7</v>
      </c>
      <c r="L82" s="23">
        <v>46202</v>
      </c>
      <c r="M82" s="25" t="b">
        <v>0</v>
      </c>
      <c r="N82" s="51" t="str">
        <f t="shared" ca="1" si="3"/>
        <v/>
      </c>
      <c r="O82" s="24">
        <v>46335</v>
      </c>
      <c r="P82" s="25" t="b">
        <v>0</v>
      </c>
      <c r="Q82" s="78" t="b">
        <v>0</v>
      </c>
      <c r="R82" s="81" t="s">
        <v>138</v>
      </c>
      <c r="S82" s="2"/>
      <c r="T82" s="2"/>
    </row>
    <row r="83" spans="1:20" ht="14.45" customHeight="1" x14ac:dyDescent="0.25">
      <c r="A83" s="36" t="s">
        <v>153</v>
      </c>
      <c r="B83" s="4" t="b">
        <v>0</v>
      </c>
      <c r="C83" s="51" t="str">
        <f t="shared" ca="1" si="2"/>
        <v/>
      </c>
      <c r="D83" s="1">
        <v>46058</v>
      </c>
      <c r="E83" s="100" t="s">
        <v>42</v>
      </c>
      <c r="F83" s="27" t="s">
        <v>155</v>
      </c>
      <c r="G83" s="13" t="s">
        <v>156</v>
      </c>
      <c r="H83" s="29"/>
      <c r="I83" s="72">
        <v>46191</v>
      </c>
      <c r="J83" s="43">
        <v>46342</v>
      </c>
      <c r="K83" s="41">
        <v>7</v>
      </c>
      <c r="L83" s="23">
        <v>46272</v>
      </c>
      <c r="M83" s="25" t="b">
        <v>0</v>
      </c>
      <c r="N83" s="51" t="str">
        <f t="shared" ca="1" si="3"/>
        <v/>
      </c>
      <c r="O83" s="24">
        <v>46304</v>
      </c>
      <c r="P83" s="25" t="b">
        <v>0</v>
      </c>
      <c r="Q83" s="78" t="b">
        <v>0</v>
      </c>
      <c r="R83" s="81" t="s">
        <v>138</v>
      </c>
      <c r="S83" s="2"/>
      <c r="T83" s="2"/>
    </row>
    <row r="84" spans="1:20" ht="14.45" customHeight="1" x14ac:dyDescent="0.25">
      <c r="A84" s="36" t="s">
        <v>153</v>
      </c>
      <c r="B84" s="4" t="b">
        <v>0</v>
      </c>
      <c r="C84" s="51" t="str">
        <f t="shared" ca="1" si="2"/>
        <v/>
      </c>
      <c r="D84" s="1">
        <v>46058</v>
      </c>
      <c r="E84" s="100" t="s">
        <v>42</v>
      </c>
      <c r="F84" s="101" t="s">
        <v>155</v>
      </c>
      <c r="G84" s="13" t="s">
        <v>156</v>
      </c>
      <c r="H84" s="29"/>
      <c r="I84" s="72">
        <v>46191</v>
      </c>
      <c r="J84" s="43">
        <v>46365</v>
      </c>
      <c r="K84" s="41">
        <v>7</v>
      </c>
      <c r="L84" s="23">
        <v>46272</v>
      </c>
      <c r="M84" s="25" t="b">
        <v>0</v>
      </c>
      <c r="N84" s="51" t="str">
        <f t="shared" ca="1" si="3"/>
        <v/>
      </c>
      <c r="O84" s="24">
        <v>46304</v>
      </c>
      <c r="P84" s="25" t="b">
        <v>0</v>
      </c>
      <c r="Q84" s="78" t="b">
        <v>0</v>
      </c>
      <c r="R84" s="81" t="s">
        <v>138</v>
      </c>
      <c r="S84" s="2"/>
      <c r="T84" s="2"/>
    </row>
    <row r="85" spans="1:20" ht="14.45" customHeight="1" x14ac:dyDescent="0.25">
      <c r="A85" s="36" t="s">
        <v>157</v>
      </c>
      <c r="B85" s="4" t="b">
        <v>0</v>
      </c>
      <c r="C85" s="51" t="str">
        <f t="shared" ca="1" si="2"/>
        <v/>
      </c>
      <c r="D85" s="1">
        <v>46058</v>
      </c>
      <c r="E85" s="100" t="s">
        <v>42</v>
      </c>
      <c r="F85" s="101" t="s">
        <v>155</v>
      </c>
      <c r="G85" s="13" t="s">
        <v>156</v>
      </c>
      <c r="H85" s="29"/>
      <c r="I85" s="72">
        <v>46191</v>
      </c>
      <c r="J85" s="43">
        <v>46371</v>
      </c>
      <c r="K85" s="41">
        <v>7</v>
      </c>
      <c r="L85" s="23">
        <v>46336</v>
      </c>
      <c r="M85" s="25" t="b">
        <v>0</v>
      </c>
      <c r="N85" s="51" t="str">
        <f t="shared" ca="1" si="3"/>
        <v/>
      </c>
      <c r="O85" s="24">
        <v>46353</v>
      </c>
      <c r="P85" s="25" t="b">
        <v>0</v>
      </c>
      <c r="Q85" s="78" t="b">
        <v>0</v>
      </c>
      <c r="R85" s="81" t="s">
        <v>138</v>
      </c>
      <c r="S85" s="2"/>
      <c r="T85" s="2"/>
    </row>
    <row r="86" spans="1:20" ht="14.45" customHeight="1" x14ac:dyDescent="0.25">
      <c r="A86" s="36" t="s">
        <v>157</v>
      </c>
      <c r="B86" s="4" t="b">
        <v>0</v>
      </c>
      <c r="C86" s="51" t="str">
        <f t="shared" ca="1" si="2"/>
        <v/>
      </c>
      <c r="D86" s="1">
        <v>46058</v>
      </c>
      <c r="E86" s="100" t="s">
        <v>42</v>
      </c>
      <c r="F86" s="101" t="s">
        <v>155</v>
      </c>
      <c r="G86" s="13" t="s">
        <v>118</v>
      </c>
      <c r="H86" s="29"/>
      <c r="I86" s="72">
        <v>46191</v>
      </c>
      <c r="J86" s="43">
        <v>46391</v>
      </c>
      <c r="K86" s="41">
        <v>7</v>
      </c>
      <c r="L86" s="23">
        <v>46336</v>
      </c>
      <c r="M86" s="25" t="b">
        <v>0</v>
      </c>
      <c r="N86" s="51" t="str">
        <f t="shared" ca="1" si="3"/>
        <v/>
      </c>
      <c r="O86" s="24">
        <v>46353</v>
      </c>
      <c r="P86" s="25" t="b">
        <v>0</v>
      </c>
      <c r="Q86" s="78" t="b">
        <v>0</v>
      </c>
      <c r="R86" s="81" t="s">
        <v>138</v>
      </c>
      <c r="S86" s="2"/>
      <c r="T86" s="2"/>
    </row>
    <row r="87" spans="1:20" ht="14.45" customHeight="1" x14ac:dyDescent="0.25">
      <c r="A87" s="36" t="s">
        <v>137</v>
      </c>
      <c r="B87" s="4" t="b">
        <v>0</v>
      </c>
      <c r="C87" s="51" t="str">
        <f t="shared" ca="1" si="2"/>
        <v/>
      </c>
      <c r="D87" s="1">
        <v>46062</v>
      </c>
      <c r="E87" s="100" t="s">
        <v>42</v>
      </c>
      <c r="F87" s="101" t="s">
        <v>141</v>
      </c>
      <c r="G87" s="13"/>
      <c r="H87" s="29"/>
      <c r="I87" s="42"/>
      <c r="J87" s="43">
        <v>46146</v>
      </c>
      <c r="K87" s="41">
        <v>7</v>
      </c>
      <c r="L87" s="23"/>
      <c r="M87" s="25" t="b">
        <v>0</v>
      </c>
      <c r="N87" s="51" t="str">
        <f t="shared" ca="1" si="3"/>
        <v/>
      </c>
      <c r="O87" s="24"/>
      <c r="P87" s="25" t="b">
        <v>0</v>
      </c>
      <c r="Q87" s="78" t="b">
        <v>0</v>
      </c>
      <c r="R87" s="81" t="s">
        <v>138</v>
      </c>
      <c r="S87" s="2"/>
      <c r="T87" s="2"/>
    </row>
    <row r="88" spans="1:20" ht="15" customHeight="1" x14ac:dyDescent="0.25">
      <c r="A88" s="36" t="s">
        <v>196</v>
      </c>
      <c r="B88" s="4" t="b">
        <v>0</v>
      </c>
      <c r="C88" s="51" t="str">
        <f t="shared" ca="1" si="2"/>
        <v/>
      </c>
      <c r="D88" s="1">
        <v>46135</v>
      </c>
      <c r="E88" s="100" t="s">
        <v>20</v>
      </c>
      <c r="F88" s="101" t="s">
        <v>257</v>
      </c>
      <c r="G88" s="13"/>
      <c r="H88" s="29"/>
      <c r="I88" s="72">
        <v>46141</v>
      </c>
      <c r="J88" s="43">
        <v>46148</v>
      </c>
      <c r="K88" s="41">
        <v>7</v>
      </c>
      <c r="L88" s="23"/>
      <c r="M88" s="25" t="b">
        <v>0</v>
      </c>
      <c r="N88" s="51" t="str">
        <f t="shared" ca="1" si="3"/>
        <v/>
      </c>
      <c r="O88" s="24"/>
      <c r="P88" s="25" t="b">
        <v>0</v>
      </c>
      <c r="Q88" s="78" t="b">
        <v>0</v>
      </c>
      <c r="R88" s="81" t="s">
        <v>68</v>
      </c>
      <c r="S88" s="2"/>
      <c r="T88" s="2"/>
    </row>
    <row r="89" spans="1:20" ht="15" customHeight="1" x14ac:dyDescent="0.25">
      <c r="A89" s="36" t="s">
        <v>142</v>
      </c>
      <c r="B89" s="4" t="b">
        <v>0</v>
      </c>
      <c r="C89" s="51" t="str">
        <f t="shared" ca="1" si="2"/>
        <v/>
      </c>
      <c r="D89" s="1">
        <v>46058</v>
      </c>
      <c r="E89" s="100" t="s">
        <v>42</v>
      </c>
      <c r="F89" s="101" t="s">
        <v>128</v>
      </c>
      <c r="G89" s="50" t="s">
        <v>129</v>
      </c>
      <c r="H89" s="29" t="s">
        <v>130</v>
      </c>
      <c r="I89" s="42" t="s">
        <v>28</v>
      </c>
      <c r="J89" s="43">
        <v>46184</v>
      </c>
      <c r="K89" s="41">
        <v>7</v>
      </c>
      <c r="L89" s="23"/>
      <c r="M89" s="25" t="b">
        <v>0</v>
      </c>
      <c r="N89" s="51" t="str">
        <f t="shared" ca="1" si="3"/>
        <v/>
      </c>
      <c r="O89" s="24"/>
      <c r="P89" s="25" t="b">
        <v>0</v>
      </c>
      <c r="Q89" s="78" t="b">
        <v>0</v>
      </c>
      <c r="R89" s="81" t="s">
        <v>138</v>
      </c>
      <c r="S89" s="2"/>
      <c r="T89" s="2"/>
    </row>
    <row r="90" spans="1:20" ht="15" customHeight="1" x14ac:dyDescent="0.25">
      <c r="A90" s="36" t="s">
        <v>94</v>
      </c>
      <c r="B90" s="4" t="b">
        <v>0</v>
      </c>
      <c r="C90" s="51" t="str">
        <f t="shared" ca="1" si="2"/>
        <v/>
      </c>
      <c r="D90" s="1">
        <v>46059</v>
      </c>
      <c r="E90" s="100" t="s">
        <v>30</v>
      </c>
      <c r="F90" s="101" t="s">
        <v>162</v>
      </c>
      <c r="G90" s="118" t="s">
        <v>236</v>
      </c>
      <c r="H90" s="29" t="s">
        <v>223</v>
      </c>
      <c r="I90" s="42" t="s">
        <v>28</v>
      </c>
      <c r="J90" s="43">
        <v>46157</v>
      </c>
      <c r="K90" s="41">
        <v>7</v>
      </c>
      <c r="L90" s="23"/>
      <c r="M90" s="25" t="b">
        <v>0</v>
      </c>
      <c r="N90" s="51" t="str">
        <f t="shared" ca="1" si="3"/>
        <v/>
      </c>
      <c r="O90" s="24"/>
      <c r="P90" s="25" t="b">
        <v>0</v>
      </c>
      <c r="Q90" s="78" t="b">
        <v>0</v>
      </c>
      <c r="R90" s="81"/>
      <c r="S90" s="2"/>
      <c r="T90" s="2"/>
    </row>
    <row r="91" spans="1:20" ht="14.45" customHeight="1" x14ac:dyDescent="0.25">
      <c r="A91" s="53" t="s">
        <v>94</v>
      </c>
      <c r="B91" s="4" t="b">
        <v>0</v>
      </c>
      <c r="C91" s="51" t="str">
        <f t="shared" ca="1" si="2"/>
        <v/>
      </c>
      <c r="D91" s="1">
        <v>46058</v>
      </c>
      <c r="E91" s="100" t="s">
        <v>20</v>
      </c>
      <c r="F91" s="101" t="s">
        <v>143</v>
      </c>
      <c r="G91" s="52"/>
      <c r="H91" s="29"/>
      <c r="I91" s="42"/>
      <c r="J91" s="43">
        <v>46162</v>
      </c>
      <c r="K91" s="41">
        <v>7</v>
      </c>
      <c r="L91" s="23"/>
      <c r="M91" s="25" t="b">
        <v>0</v>
      </c>
      <c r="N91" s="51" t="str">
        <f t="shared" ca="1" si="3"/>
        <v/>
      </c>
      <c r="O91" s="24"/>
      <c r="P91" s="25" t="b">
        <v>0</v>
      </c>
      <c r="Q91" s="78" t="b">
        <v>0</v>
      </c>
      <c r="R91" s="81"/>
      <c r="S91" s="2"/>
      <c r="T91" s="2"/>
    </row>
    <row r="92" spans="1:20" ht="15" customHeight="1" x14ac:dyDescent="0.25">
      <c r="A92" s="36" t="s">
        <v>201</v>
      </c>
      <c r="B92" s="4" t="b">
        <v>0</v>
      </c>
      <c r="C92" s="51" t="str">
        <f t="shared" ca="1" si="2"/>
        <v/>
      </c>
      <c r="D92" s="1">
        <v>46100</v>
      </c>
      <c r="E92" s="100" t="s">
        <v>42</v>
      </c>
      <c r="F92" s="101" t="s">
        <v>202</v>
      </c>
      <c r="G92" s="13"/>
      <c r="H92" s="29"/>
      <c r="I92" s="42"/>
      <c r="J92" s="43">
        <v>46162</v>
      </c>
      <c r="K92" s="41">
        <v>7</v>
      </c>
      <c r="L92" s="23"/>
      <c r="M92" s="25" t="b">
        <v>0</v>
      </c>
      <c r="N92" s="51" t="str">
        <f t="shared" ca="1" si="3"/>
        <v/>
      </c>
      <c r="O92" s="24"/>
      <c r="P92" s="25" t="b">
        <v>0</v>
      </c>
      <c r="Q92" s="78" t="b">
        <v>0</v>
      </c>
      <c r="R92" s="81"/>
      <c r="S92" s="2"/>
      <c r="T92" s="2"/>
    </row>
    <row r="93" spans="1:20" ht="15" customHeight="1" x14ac:dyDescent="0.25">
      <c r="A93" s="36" t="s">
        <v>201</v>
      </c>
      <c r="B93" s="4" t="b">
        <v>0</v>
      </c>
      <c r="C93" s="51" t="str">
        <f t="shared" ca="1" si="2"/>
        <v/>
      </c>
      <c r="D93" s="1">
        <v>46100</v>
      </c>
      <c r="E93" s="100" t="s">
        <v>42</v>
      </c>
      <c r="F93" s="101" t="s">
        <v>203</v>
      </c>
      <c r="G93" s="13"/>
      <c r="H93" s="29"/>
      <c r="I93" s="42"/>
      <c r="J93" s="43">
        <v>46162</v>
      </c>
      <c r="K93" s="41">
        <v>7</v>
      </c>
      <c r="L93" s="23"/>
      <c r="M93" s="25" t="b">
        <v>0</v>
      </c>
      <c r="N93" s="51" t="str">
        <f t="shared" ca="1" si="3"/>
        <v/>
      </c>
      <c r="O93" s="24"/>
      <c r="P93" s="25" t="b">
        <v>0</v>
      </c>
      <c r="Q93" s="78" t="b">
        <v>0</v>
      </c>
      <c r="R93" s="81"/>
      <c r="S93" s="2"/>
      <c r="T93" s="2"/>
    </row>
    <row r="94" spans="1:20" ht="15" customHeight="1" x14ac:dyDescent="0.25">
      <c r="A94" s="36" t="s">
        <v>201</v>
      </c>
      <c r="B94" s="4" t="b">
        <v>0</v>
      </c>
      <c r="C94" s="51" t="str">
        <f t="shared" ca="1" si="2"/>
        <v/>
      </c>
      <c r="D94" s="1">
        <v>46100</v>
      </c>
      <c r="E94" s="100" t="s">
        <v>42</v>
      </c>
      <c r="F94" s="101" t="s">
        <v>206</v>
      </c>
      <c r="G94" s="13"/>
      <c r="H94" s="29"/>
      <c r="I94" s="42"/>
      <c r="J94" s="43">
        <v>46162</v>
      </c>
      <c r="K94" s="41">
        <v>7</v>
      </c>
      <c r="L94" s="23"/>
      <c r="M94" s="25" t="b">
        <v>0</v>
      </c>
      <c r="N94" s="51" t="str">
        <f t="shared" ca="1" si="3"/>
        <v/>
      </c>
      <c r="O94" s="24"/>
      <c r="P94" s="25" t="b">
        <v>0</v>
      </c>
      <c r="Q94" s="78" t="b">
        <v>0</v>
      </c>
      <c r="R94" s="81"/>
      <c r="S94" s="2"/>
      <c r="T94" s="2"/>
    </row>
    <row r="95" spans="1:20" ht="14.45" customHeight="1" x14ac:dyDescent="0.25">
      <c r="A95" s="36" t="s">
        <v>201</v>
      </c>
      <c r="B95" s="4" t="b">
        <v>0</v>
      </c>
      <c r="C95" s="51" t="str">
        <f t="shared" ca="1" si="2"/>
        <v/>
      </c>
      <c r="D95" s="1">
        <v>46104</v>
      </c>
      <c r="E95" s="100" t="s">
        <v>42</v>
      </c>
      <c r="F95" s="101" t="s">
        <v>214</v>
      </c>
      <c r="G95" s="13" t="s">
        <v>213</v>
      </c>
      <c r="H95" s="114"/>
      <c r="I95" s="2">
        <v>46164</v>
      </c>
      <c r="J95" s="43">
        <v>46167</v>
      </c>
      <c r="K95" s="41">
        <v>2</v>
      </c>
      <c r="L95" s="23"/>
      <c r="M95" s="25" t="b">
        <v>0</v>
      </c>
      <c r="N95" s="51" t="str">
        <f t="shared" ca="1" si="3"/>
        <v/>
      </c>
      <c r="O95" s="24"/>
      <c r="P95" s="25" t="b">
        <v>0</v>
      </c>
      <c r="Q95" s="78" t="b">
        <v>0</v>
      </c>
      <c r="R95" s="81"/>
      <c r="S95" s="2"/>
      <c r="T95" s="2"/>
    </row>
    <row r="96" spans="1:20" ht="14.45" customHeight="1" x14ac:dyDescent="0.25">
      <c r="A96" s="36" t="s">
        <v>127</v>
      </c>
      <c r="B96" s="4" t="b">
        <v>0</v>
      </c>
      <c r="C96" s="51" t="str">
        <f t="shared" ca="1" si="2"/>
        <v/>
      </c>
      <c r="D96" s="1">
        <v>46062</v>
      </c>
      <c r="E96" s="100" t="s">
        <v>42</v>
      </c>
      <c r="F96" s="101" t="s">
        <v>77</v>
      </c>
      <c r="G96" s="13" t="s">
        <v>235</v>
      </c>
      <c r="H96" s="114"/>
      <c r="I96" s="2"/>
      <c r="J96" s="43">
        <v>46174</v>
      </c>
      <c r="K96" s="41">
        <v>7</v>
      </c>
      <c r="L96" s="23"/>
      <c r="M96" s="25" t="b">
        <v>0</v>
      </c>
      <c r="N96" s="51" t="str">
        <f t="shared" ca="1" si="3"/>
        <v/>
      </c>
      <c r="O96" s="24"/>
      <c r="P96" s="25" t="b">
        <v>0</v>
      </c>
      <c r="Q96" s="78" t="b">
        <v>0</v>
      </c>
      <c r="R96" s="81"/>
      <c r="S96" s="2"/>
      <c r="T96" s="2"/>
    </row>
    <row r="97" spans="1:20" ht="15" customHeight="1" x14ac:dyDescent="0.25">
      <c r="A97" s="36" t="s">
        <v>201</v>
      </c>
      <c r="B97" s="4" t="b">
        <v>0</v>
      </c>
      <c r="C97" s="51" t="str">
        <f t="shared" ca="1" si="2"/>
        <v/>
      </c>
      <c r="D97" s="1">
        <v>46100</v>
      </c>
      <c r="E97" s="5" t="s">
        <v>42</v>
      </c>
      <c r="F97" s="27" t="s">
        <v>204</v>
      </c>
      <c r="G97" s="13"/>
      <c r="H97" s="114"/>
      <c r="I97" s="77">
        <v>46171</v>
      </c>
      <c r="J97" s="43">
        <v>46178</v>
      </c>
      <c r="K97" s="41">
        <v>7</v>
      </c>
      <c r="L97" s="23"/>
      <c r="M97" s="25" t="b">
        <v>0</v>
      </c>
      <c r="N97" s="51" t="str">
        <f t="shared" ca="1" si="3"/>
        <v/>
      </c>
      <c r="O97" s="24"/>
      <c r="P97" s="25" t="b">
        <v>0</v>
      </c>
      <c r="Q97" s="78" t="b">
        <v>0</v>
      </c>
      <c r="R97" s="26"/>
      <c r="S97" s="2"/>
      <c r="T97" s="2"/>
    </row>
    <row r="98" spans="1:20" ht="14.45" customHeight="1" x14ac:dyDescent="0.25">
      <c r="A98" s="36" t="s">
        <v>101</v>
      </c>
      <c r="B98" s="4" t="b">
        <v>0</v>
      </c>
      <c r="C98" s="51" t="str">
        <f t="shared" ca="1" si="2"/>
        <v/>
      </c>
      <c r="D98" s="1">
        <v>46058</v>
      </c>
      <c r="E98" s="5" t="s">
        <v>20</v>
      </c>
      <c r="F98" s="27" t="s">
        <v>143</v>
      </c>
      <c r="G98" s="13"/>
      <c r="H98" s="114"/>
      <c r="I98" s="2"/>
      <c r="J98" s="43">
        <v>46183</v>
      </c>
      <c r="K98" s="41">
        <v>7</v>
      </c>
      <c r="L98" s="23"/>
      <c r="M98" s="25" t="b">
        <v>0</v>
      </c>
      <c r="N98" s="51" t="str">
        <f t="shared" ca="1" si="3"/>
        <v/>
      </c>
      <c r="O98" s="24"/>
      <c r="P98" s="25" t="b">
        <v>0</v>
      </c>
      <c r="Q98" s="78" t="b">
        <v>0</v>
      </c>
      <c r="R98" s="81"/>
      <c r="S98" s="2"/>
      <c r="T98" s="2"/>
    </row>
    <row r="99" spans="1:20" ht="14.45" customHeight="1" x14ac:dyDescent="0.25">
      <c r="A99" s="36" t="s">
        <v>201</v>
      </c>
      <c r="B99" s="4" t="b">
        <v>0</v>
      </c>
      <c r="C99" s="51" t="str">
        <f t="shared" ca="1" si="2"/>
        <v/>
      </c>
      <c r="D99" s="1">
        <v>46100</v>
      </c>
      <c r="E99" s="5" t="s">
        <v>42</v>
      </c>
      <c r="F99" s="27" t="s">
        <v>205</v>
      </c>
      <c r="G99" s="13"/>
      <c r="H99" s="114"/>
      <c r="I99" s="2">
        <v>46177</v>
      </c>
      <c r="J99" s="43">
        <v>46185</v>
      </c>
      <c r="K99" s="41">
        <v>7</v>
      </c>
      <c r="L99" s="23"/>
      <c r="M99" s="25" t="b">
        <v>0</v>
      </c>
      <c r="N99" s="51" t="str">
        <f t="shared" ref="N99:N130" ca="1" si="4">IF(M99=TRUE, IF(OR(N99=0, N99=""), NOW(), N99), "")</f>
        <v/>
      </c>
      <c r="O99" s="24"/>
      <c r="P99" s="25" t="b">
        <v>0</v>
      </c>
      <c r="Q99" s="78" t="b">
        <v>0</v>
      </c>
      <c r="R99" s="81"/>
      <c r="S99" s="2"/>
      <c r="T99" s="2"/>
    </row>
    <row r="100" spans="1:20" ht="14.45" customHeight="1" x14ac:dyDescent="0.25">
      <c r="A100" s="36" t="s">
        <v>73</v>
      </c>
      <c r="B100" s="4" t="b">
        <v>0</v>
      </c>
      <c r="C100" s="51" t="str">
        <f t="shared" ca="1" si="2"/>
        <v/>
      </c>
      <c r="D100" s="1">
        <v>46079</v>
      </c>
      <c r="E100" s="5" t="s">
        <v>20</v>
      </c>
      <c r="F100" s="27" t="s">
        <v>143</v>
      </c>
      <c r="G100" s="13"/>
      <c r="H100" s="114"/>
      <c r="I100" s="2"/>
      <c r="J100" s="43">
        <v>46188</v>
      </c>
      <c r="K100" s="41">
        <v>7</v>
      </c>
      <c r="L100" s="23"/>
      <c r="M100" s="25" t="b">
        <v>0</v>
      </c>
      <c r="N100" s="51" t="str">
        <f t="shared" ca="1" si="4"/>
        <v/>
      </c>
      <c r="O100" s="24"/>
      <c r="P100" s="25" t="b">
        <v>0</v>
      </c>
      <c r="Q100" s="78" t="b">
        <v>0</v>
      </c>
      <c r="R100" s="81"/>
      <c r="S100" s="2"/>
      <c r="T100" s="2"/>
    </row>
    <row r="101" spans="1:20" ht="14.45" customHeight="1" x14ac:dyDescent="0.25">
      <c r="A101" s="36" t="s">
        <v>120</v>
      </c>
      <c r="B101" s="4" t="b">
        <v>0</v>
      </c>
      <c r="C101" s="51" t="str">
        <f t="shared" ca="1" si="2"/>
        <v/>
      </c>
      <c r="D101" s="1">
        <v>46128</v>
      </c>
      <c r="E101" s="5" t="s">
        <v>30</v>
      </c>
      <c r="F101" s="117" t="s">
        <v>238</v>
      </c>
      <c r="G101" s="13"/>
      <c r="H101" s="114"/>
      <c r="I101" s="2" t="s">
        <v>28</v>
      </c>
      <c r="J101" s="43">
        <v>46188</v>
      </c>
      <c r="K101" s="41">
        <v>7</v>
      </c>
      <c r="L101" s="23"/>
      <c r="M101" s="25" t="b">
        <v>0</v>
      </c>
      <c r="N101" s="51" t="str">
        <f t="shared" ca="1" si="4"/>
        <v/>
      </c>
      <c r="O101" s="24"/>
      <c r="P101" s="25" t="b">
        <v>0</v>
      </c>
      <c r="Q101" s="78" t="b">
        <v>0</v>
      </c>
      <c r="R101" s="81"/>
      <c r="S101" s="2"/>
      <c r="T101" s="2"/>
    </row>
    <row r="102" spans="1:20" ht="14.45" hidden="1" customHeight="1" x14ac:dyDescent="0.25">
      <c r="A102" s="36" t="s">
        <v>146</v>
      </c>
      <c r="B102" s="4" t="b">
        <v>0</v>
      </c>
      <c r="C102" s="51" t="str">
        <f t="shared" ca="1" si="2"/>
        <v/>
      </c>
      <c r="D102" s="1">
        <v>46128</v>
      </c>
      <c r="E102" s="5" t="s">
        <v>30</v>
      </c>
      <c r="F102" s="27" t="s">
        <v>162</v>
      </c>
      <c r="G102" s="13"/>
      <c r="H102" s="114"/>
      <c r="I102" s="2" t="s">
        <v>28</v>
      </c>
      <c r="J102" s="43">
        <v>46204</v>
      </c>
      <c r="K102" s="41">
        <v>7</v>
      </c>
      <c r="L102" s="23"/>
      <c r="M102" s="25" t="b">
        <v>0</v>
      </c>
      <c r="N102" s="51" t="str">
        <f t="shared" ca="1" si="4"/>
        <v/>
      </c>
      <c r="O102" s="24"/>
      <c r="P102" s="25" t="b">
        <v>0</v>
      </c>
      <c r="Q102" s="78" t="b">
        <v>0</v>
      </c>
      <c r="R102" s="81" t="s">
        <v>65</v>
      </c>
      <c r="S102" s="2"/>
      <c r="T102" s="2"/>
    </row>
    <row r="103" spans="1:20" ht="14.45" hidden="1" customHeight="1" x14ac:dyDescent="0.25">
      <c r="A103" s="36" t="s">
        <v>73</v>
      </c>
      <c r="B103" s="4" t="b">
        <v>1</v>
      </c>
      <c r="C103" s="51">
        <f t="shared" ca="1" si="2"/>
        <v>46093.600811342592</v>
      </c>
      <c r="D103" s="1">
        <v>46059</v>
      </c>
      <c r="E103" s="5" t="s">
        <v>30</v>
      </c>
      <c r="F103" s="27" t="s">
        <v>158</v>
      </c>
      <c r="G103" s="13" t="s">
        <v>159</v>
      </c>
      <c r="H103" s="29"/>
      <c r="I103" s="115" t="s">
        <v>28</v>
      </c>
      <c r="J103" s="43" t="s">
        <v>70</v>
      </c>
      <c r="K103" s="41">
        <v>7</v>
      </c>
      <c r="L103" s="23" t="s">
        <v>70</v>
      </c>
      <c r="M103" s="25" t="b">
        <v>1</v>
      </c>
      <c r="N103" s="51">
        <f t="shared" ca="1" si="4"/>
        <v>46093.600521296299</v>
      </c>
      <c r="O103" s="24" t="s">
        <v>70</v>
      </c>
      <c r="P103" s="25" t="b">
        <v>1</v>
      </c>
      <c r="Q103" s="78" t="b">
        <v>0</v>
      </c>
      <c r="R103" s="81" t="s">
        <v>70</v>
      </c>
      <c r="S103" s="54"/>
      <c r="T103" s="2">
        <v>46073</v>
      </c>
    </row>
    <row r="104" spans="1:20" ht="14.45" hidden="1" customHeight="1" x14ac:dyDescent="0.25">
      <c r="A104" s="86" t="s">
        <v>19</v>
      </c>
      <c r="B104" s="68" t="b">
        <v>1</v>
      </c>
      <c r="C104" s="51"/>
      <c r="D104" s="69">
        <v>46058</v>
      </c>
      <c r="E104" s="5" t="s">
        <v>20</v>
      </c>
      <c r="F104" s="70" t="s">
        <v>21</v>
      </c>
      <c r="G104" s="34"/>
      <c r="H104" s="29"/>
      <c r="I104" s="72">
        <v>46058</v>
      </c>
      <c r="J104" s="29"/>
      <c r="K104" s="93"/>
      <c r="L104" s="73">
        <v>46058</v>
      </c>
      <c r="M104" s="74" t="b">
        <v>0</v>
      </c>
      <c r="N104" s="51" t="str">
        <f t="shared" ca="1" si="4"/>
        <v/>
      </c>
      <c r="O104" s="75">
        <v>46058</v>
      </c>
      <c r="P104" s="74" t="b">
        <v>0</v>
      </c>
      <c r="Q104" s="79" t="b">
        <v>0</v>
      </c>
      <c r="R104" s="82" t="s">
        <v>22</v>
      </c>
      <c r="S104" s="77"/>
      <c r="T104" s="77"/>
    </row>
    <row r="105" spans="1:20" ht="14.45" hidden="1" customHeight="1" x14ac:dyDescent="0.25">
      <c r="A105" s="36" t="s">
        <v>127</v>
      </c>
      <c r="B105" s="4" t="b">
        <v>1</v>
      </c>
      <c r="C105" s="51">
        <f t="shared" ref="C105:C136" ca="1" si="5">IF(B105=TRUE, IF(OR(C105=0, C105=""), NOW(), C105), "")</f>
        <v>46107.511761574075</v>
      </c>
      <c r="D105" s="1">
        <v>46083</v>
      </c>
      <c r="E105" s="5" t="s">
        <v>42</v>
      </c>
      <c r="F105" s="27" t="s">
        <v>160</v>
      </c>
      <c r="G105" s="13" t="s">
        <v>161</v>
      </c>
      <c r="H105" s="29"/>
      <c r="I105" s="42">
        <v>46105</v>
      </c>
      <c r="J105" s="43"/>
      <c r="K105" s="41">
        <v>7</v>
      </c>
      <c r="L105" s="23" t="s">
        <v>70</v>
      </c>
      <c r="M105" s="25" t="b">
        <v>0</v>
      </c>
      <c r="N105" s="51" t="str">
        <f t="shared" ca="1" si="4"/>
        <v/>
      </c>
      <c r="O105" s="24" t="s">
        <v>70</v>
      </c>
      <c r="P105" s="25" t="b">
        <v>0</v>
      </c>
      <c r="Q105" s="78" t="b">
        <v>0</v>
      </c>
      <c r="R105" s="81" t="s">
        <v>70</v>
      </c>
      <c r="S105" s="2"/>
      <c r="T105" s="2"/>
    </row>
    <row r="106" spans="1:20" ht="14.45" customHeight="1" x14ac:dyDescent="0.25">
      <c r="A106" s="36" t="s">
        <v>196</v>
      </c>
      <c r="B106" s="4" t="b">
        <v>0</v>
      </c>
      <c r="C106" s="51" t="str">
        <f t="shared" ca="1" si="5"/>
        <v/>
      </c>
      <c r="D106" s="1">
        <v>46135</v>
      </c>
      <c r="E106" s="5" t="s">
        <v>20</v>
      </c>
      <c r="F106" s="27" t="s">
        <v>255</v>
      </c>
      <c r="G106" s="13"/>
      <c r="H106" s="29"/>
      <c r="I106" s="42" t="s">
        <v>28</v>
      </c>
      <c r="J106" s="43">
        <v>46188</v>
      </c>
      <c r="K106" s="41">
        <v>7</v>
      </c>
      <c r="L106" s="23"/>
      <c r="M106" s="25" t="b">
        <v>0</v>
      </c>
      <c r="N106" s="51" t="str">
        <f t="shared" ca="1" si="4"/>
        <v/>
      </c>
      <c r="O106" s="24"/>
      <c r="P106" s="25" t="b">
        <v>0</v>
      </c>
      <c r="Q106" s="78" t="b">
        <v>0</v>
      </c>
      <c r="R106" s="81" t="s">
        <v>68</v>
      </c>
      <c r="S106" s="2"/>
      <c r="T106" s="2"/>
    </row>
    <row r="107" spans="1:20" ht="14.45" customHeight="1" x14ac:dyDescent="0.25">
      <c r="A107" s="36" t="s">
        <v>120</v>
      </c>
      <c r="B107" s="4" t="b">
        <v>0</v>
      </c>
      <c r="C107" s="51" t="str">
        <f t="shared" ca="1" si="5"/>
        <v/>
      </c>
      <c r="D107" s="1">
        <v>46058</v>
      </c>
      <c r="E107" s="5" t="s">
        <v>20</v>
      </c>
      <c r="F107" s="27" t="s">
        <v>143</v>
      </c>
      <c r="G107" s="112"/>
      <c r="H107" s="29"/>
      <c r="I107" s="42"/>
      <c r="J107" s="43">
        <v>46190</v>
      </c>
      <c r="K107" s="41">
        <v>7</v>
      </c>
      <c r="L107" s="23"/>
      <c r="M107" s="25" t="b">
        <v>0</v>
      </c>
      <c r="N107" s="51" t="str">
        <f t="shared" ca="1" si="4"/>
        <v/>
      </c>
      <c r="O107" s="24"/>
      <c r="P107" s="25" t="b">
        <v>0</v>
      </c>
      <c r="Q107" s="78" t="b">
        <v>0</v>
      </c>
      <c r="R107" s="81"/>
      <c r="S107" s="2"/>
      <c r="T107" s="2"/>
    </row>
    <row r="108" spans="1:20" ht="14.45" customHeight="1" x14ac:dyDescent="0.25">
      <c r="A108" s="36" t="s">
        <v>163</v>
      </c>
      <c r="B108" s="4" t="b">
        <v>0</v>
      </c>
      <c r="C108" s="51" t="str">
        <f t="shared" ca="1" si="5"/>
        <v/>
      </c>
      <c r="D108" s="1">
        <v>46058</v>
      </c>
      <c r="E108" s="5" t="s">
        <v>20</v>
      </c>
      <c r="F108" s="27" t="s">
        <v>164</v>
      </c>
      <c r="G108" s="113"/>
      <c r="H108" s="93"/>
      <c r="I108" s="42"/>
      <c r="J108" s="43">
        <v>46191</v>
      </c>
      <c r="K108" s="41">
        <v>7</v>
      </c>
      <c r="L108" s="23"/>
      <c r="M108" s="25" t="b">
        <v>0</v>
      </c>
      <c r="N108" s="51" t="str">
        <f t="shared" ca="1" si="4"/>
        <v/>
      </c>
      <c r="O108" s="24"/>
      <c r="P108" s="25" t="b">
        <v>0</v>
      </c>
      <c r="Q108" s="78" t="b">
        <v>0</v>
      </c>
      <c r="R108" s="81"/>
      <c r="S108" s="2"/>
      <c r="T108" s="2"/>
    </row>
    <row r="109" spans="1:20" ht="14.45" customHeight="1" x14ac:dyDescent="0.25">
      <c r="A109" s="36" t="s">
        <v>144</v>
      </c>
      <c r="B109" s="4" t="b">
        <v>0</v>
      </c>
      <c r="C109" s="51" t="str">
        <f t="shared" ca="1" si="5"/>
        <v/>
      </c>
      <c r="D109" s="1">
        <v>46058</v>
      </c>
      <c r="E109" s="5" t="s">
        <v>42</v>
      </c>
      <c r="F109" s="27" t="s">
        <v>128</v>
      </c>
      <c r="G109" s="120" t="s">
        <v>129</v>
      </c>
      <c r="H109" s="93" t="s">
        <v>130</v>
      </c>
      <c r="I109" s="42" t="s">
        <v>28</v>
      </c>
      <c r="J109" s="43">
        <v>46192</v>
      </c>
      <c r="K109" s="41">
        <v>7</v>
      </c>
      <c r="L109" s="23"/>
      <c r="M109" s="25" t="b">
        <v>0</v>
      </c>
      <c r="N109" s="51" t="str">
        <f t="shared" ca="1" si="4"/>
        <v/>
      </c>
      <c r="O109" s="24"/>
      <c r="P109" s="25" t="b">
        <v>0</v>
      </c>
      <c r="Q109" s="78" t="b">
        <v>0</v>
      </c>
      <c r="R109" s="81" t="s">
        <v>138</v>
      </c>
      <c r="S109" s="2"/>
      <c r="T109" s="2"/>
    </row>
    <row r="110" spans="1:20" ht="14.45" customHeight="1" x14ac:dyDescent="0.25">
      <c r="A110" s="36" t="s">
        <v>131</v>
      </c>
      <c r="B110" s="4" t="b">
        <v>0</v>
      </c>
      <c r="C110" s="51" t="str">
        <f t="shared" ca="1" si="5"/>
        <v/>
      </c>
      <c r="D110" s="1">
        <v>46058</v>
      </c>
      <c r="E110" s="5" t="s">
        <v>20</v>
      </c>
      <c r="F110" s="27" t="s">
        <v>256</v>
      </c>
      <c r="G110" s="116"/>
      <c r="H110" s="29"/>
      <c r="I110" s="42">
        <v>46162</v>
      </c>
      <c r="J110" s="43">
        <v>46198</v>
      </c>
      <c r="K110" s="41">
        <v>7</v>
      </c>
      <c r="L110" s="23"/>
      <c r="M110" s="25" t="b">
        <v>0</v>
      </c>
      <c r="N110" s="51" t="str">
        <f t="shared" ca="1" si="4"/>
        <v/>
      </c>
      <c r="O110" s="24"/>
      <c r="P110" s="25" t="b">
        <v>0</v>
      </c>
      <c r="Q110" s="78" t="b">
        <v>0</v>
      </c>
      <c r="R110" s="81"/>
      <c r="S110" s="2"/>
      <c r="T110" s="2"/>
    </row>
    <row r="111" spans="1:20" ht="14.45" customHeight="1" x14ac:dyDescent="0.25">
      <c r="A111" s="36" t="s">
        <v>146</v>
      </c>
      <c r="B111" s="4" t="b">
        <v>0</v>
      </c>
      <c r="C111" s="51" t="str">
        <f t="shared" ca="1" si="5"/>
        <v/>
      </c>
      <c r="D111" s="1">
        <v>46062</v>
      </c>
      <c r="E111" s="5" t="s">
        <v>42</v>
      </c>
      <c r="F111" s="48" t="s">
        <v>24</v>
      </c>
      <c r="G111" s="13"/>
      <c r="H111" s="29"/>
      <c r="I111" s="119"/>
      <c r="J111" s="43">
        <v>46203</v>
      </c>
      <c r="K111" s="41">
        <v>7</v>
      </c>
      <c r="L111" s="23"/>
      <c r="M111" s="25" t="b">
        <v>0</v>
      </c>
      <c r="N111" s="51" t="str">
        <f t="shared" ca="1" si="4"/>
        <v/>
      </c>
      <c r="O111" s="24"/>
      <c r="P111" s="25" t="b">
        <v>0</v>
      </c>
      <c r="Q111" s="78" t="b">
        <v>0</v>
      </c>
      <c r="R111" s="81"/>
      <c r="S111" s="2"/>
      <c r="T111" s="2"/>
    </row>
    <row r="112" spans="1:20" ht="14.45" customHeight="1" x14ac:dyDescent="0.25">
      <c r="A112" s="36" t="s">
        <v>145</v>
      </c>
      <c r="B112" s="4" t="b">
        <v>0</v>
      </c>
      <c r="C112" s="51" t="str">
        <f t="shared" ca="1" si="5"/>
        <v/>
      </c>
      <c r="D112" s="1">
        <v>46128</v>
      </c>
      <c r="E112" s="5" t="s">
        <v>30</v>
      </c>
      <c r="F112" s="27" t="s">
        <v>162</v>
      </c>
      <c r="G112" s="13"/>
      <c r="H112" s="29"/>
      <c r="I112" s="42" t="s">
        <v>28</v>
      </c>
      <c r="J112" s="43">
        <v>46235</v>
      </c>
      <c r="K112" s="41">
        <v>7</v>
      </c>
      <c r="L112" s="23"/>
      <c r="M112" s="25" t="b">
        <v>0</v>
      </c>
      <c r="N112" s="51" t="str">
        <f t="shared" ca="1" si="4"/>
        <v/>
      </c>
      <c r="O112" s="24"/>
      <c r="P112" s="25" t="b">
        <v>0</v>
      </c>
      <c r="Q112" s="78" t="b">
        <v>0</v>
      </c>
      <c r="R112" s="81" t="s">
        <v>68</v>
      </c>
      <c r="S112" s="2"/>
      <c r="T112" s="2"/>
    </row>
    <row r="113" spans="1:20" ht="14.45" customHeight="1" x14ac:dyDescent="0.25">
      <c r="A113" s="36" t="s">
        <v>97</v>
      </c>
      <c r="B113" s="4" t="b">
        <v>0</v>
      </c>
      <c r="C113" s="51" t="str">
        <f t="shared" ca="1" si="5"/>
        <v/>
      </c>
      <c r="D113" s="1">
        <v>46062</v>
      </c>
      <c r="E113" s="5" t="s">
        <v>42</v>
      </c>
      <c r="F113" s="27" t="s">
        <v>165</v>
      </c>
      <c r="G113" s="13"/>
      <c r="H113" s="29"/>
      <c r="I113" s="42"/>
      <c r="J113" s="43">
        <v>46249</v>
      </c>
      <c r="K113" s="41">
        <v>7</v>
      </c>
      <c r="L113" s="23"/>
      <c r="M113" s="25" t="b">
        <v>0</v>
      </c>
      <c r="N113" s="51" t="str">
        <f t="shared" ca="1" si="4"/>
        <v/>
      </c>
      <c r="O113" s="24"/>
      <c r="P113" s="25" t="b">
        <v>0</v>
      </c>
      <c r="Q113" s="78" t="b">
        <v>0</v>
      </c>
      <c r="R113" s="81"/>
      <c r="S113" s="2"/>
      <c r="T113" s="2"/>
    </row>
    <row r="114" spans="1:20" ht="15" customHeight="1" x14ac:dyDescent="0.25">
      <c r="A114" s="36" t="s">
        <v>242</v>
      </c>
      <c r="B114" s="4" t="b">
        <v>0</v>
      </c>
      <c r="C114" s="51" t="str">
        <f t="shared" ca="1" si="5"/>
        <v/>
      </c>
      <c r="D114" s="1">
        <v>46128</v>
      </c>
      <c r="E114" s="5" t="s">
        <v>42</v>
      </c>
      <c r="F114" s="27" t="s">
        <v>117</v>
      </c>
      <c r="G114" s="13"/>
      <c r="H114" s="29"/>
      <c r="I114" s="42"/>
      <c r="J114" s="43">
        <v>46249</v>
      </c>
      <c r="K114" s="41">
        <v>7</v>
      </c>
      <c r="L114" s="23"/>
      <c r="M114" s="25" t="b">
        <v>0</v>
      </c>
      <c r="N114" s="51" t="str">
        <f t="shared" ca="1" si="4"/>
        <v/>
      </c>
      <c r="O114" s="24"/>
      <c r="P114" s="25" t="b">
        <v>0</v>
      </c>
      <c r="Q114" s="78" t="b">
        <v>0</v>
      </c>
      <c r="R114" s="81"/>
      <c r="S114" s="2"/>
      <c r="T114" s="2"/>
    </row>
    <row r="115" spans="1:20" ht="15" customHeight="1" x14ac:dyDescent="0.25">
      <c r="A115" s="36" t="s">
        <v>146</v>
      </c>
      <c r="B115" s="4" t="b">
        <v>0</v>
      </c>
      <c r="C115" s="51" t="str">
        <f t="shared" ca="1" si="5"/>
        <v/>
      </c>
      <c r="D115" s="1">
        <v>46062</v>
      </c>
      <c r="E115" s="5" t="s">
        <v>42</v>
      </c>
      <c r="F115" s="48" t="s">
        <v>233</v>
      </c>
      <c r="G115" s="13"/>
      <c r="H115" s="29"/>
      <c r="I115" s="42"/>
      <c r="J115" s="43">
        <v>46251</v>
      </c>
      <c r="K115" s="41">
        <v>7</v>
      </c>
      <c r="L115" s="23"/>
      <c r="M115" s="25" t="b">
        <v>0</v>
      </c>
      <c r="N115" s="51" t="str">
        <f t="shared" ca="1" si="4"/>
        <v/>
      </c>
      <c r="O115" s="24"/>
      <c r="P115" s="25" t="b">
        <v>0</v>
      </c>
      <c r="Q115" s="78" t="b">
        <v>0</v>
      </c>
      <c r="R115" s="81"/>
      <c r="S115" s="2"/>
      <c r="T115" s="2"/>
    </row>
    <row r="116" spans="1:20" ht="15" customHeight="1" x14ac:dyDescent="0.25">
      <c r="A116" s="36" t="s">
        <v>145</v>
      </c>
      <c r="B116" s="4" t="b">
        <v>0</v>
      </c>
      <c r="C116" s="51" t="str">
        <f t="shared" ca="1" si="5"/>
        <v/>
      </c>
      <c r="D116" s="1">
        <v>46062</v>
      </c>
      <c r="E116" s="5" t="s">
        <v>42</v>
      </c>
      <c r="F116" s="48" t="s">
        <v>233</v>
      </c>
      <c r="G116" s="13"/>
      <c r="H116" s="29"/>
      <c r="I116" s="42"/>
      <c r="J116" s="43">
        <v>46258</v>
      </c>
      <c r="K116" s="41">
        <v>7</v>
      </c>
      <c r="L116" s="23"/>
      <c r="M116" s="25" t="b">
        <v>0</v>
      </c>
      <c r="N116" s="51" t="str">
        <f t="shared" ca="1" si="4"/>
        <v/>
      </c>
      <c r="O116" s="24"/>
      <c r="P116" s="25" t="b">
        <v>0</v>
      </c>
      <c r="Q116" s="78" t="b">
        <v>0</v>
      </c>
      <c r="R116" s="81"/>
      <c r="S116" s="2"/>
      <c r="T116" s="2"/>
    </row>
    <row r="117" spans="1:20" ht="15" customHeight="1" x14ac:dyDescent="0.25">
      <c r="A117" s="36" t="s">
        <v>145</v>
      </c>
      <c r="B117" s="4" t="b">
        <v>0</v>
      </c>
      <c r="C117" s="51" t="str">
        <f t="shared" ca="1" si="5"/>
        <v/>
      </c>
      <c r="D117" s="1">
        <v>46062</v>
      </c>
      <c r="E117" s="5" t="s">
        <v>42</v>
      </c>
      <c r="F117" s="48" t="s">
        <v>24</v>
      </c>
      <c r="G117" s="13"/>
      <c r="H117" s="29"/>
      <c r="I117" s="42"/>
      <c r="J117" s="43">
        <v>46259</v>
      </c>
      <c r="K117" s="41">
        <v>7</v>
      </c>
      <c r="L117" s="23"/>
      <c r="M117" s="25" t="b">
        <v>0</v>
      </c>
      <c r="N117" s="51" t="str">
        <f t="shared" ca="1" si="4"/>
        <v/>
      </c>
      <c r="O117" s="24"/>
      <c r="P117" s="25" t="b">
        <v>0</v>
      </c>
      <c r="Q117" s="78" t="b">
        <v>0</v>
      </c>
      <c r="R117" s="81"/>
      <c r="S117" s="2"/>
      <c r="T117" s="2"/>
    </row>
    <row r="118" spans="1:20" ht="15" customHeight="1" x14ac:dyDescent="0.25">
      <c r="A118" s="36" t="s">
        <v>145</v>
      </c>
      <c r="B118" s="4" t="b">
        <v>0</v>
      </c>
      <c r="C118" s="51" t="str">
        <f t="shared" ca="1" si="5"/>
        <v/>
      </c>
      <c r="D118" s="1">
        <v>46062</v>
      </c>
      <c r="E118" s="5" t="s">
        <v>42</v>
      </c>
      <c r="F118" s="48" t="s">
        <v>247</v>
      </c>
      <c r="G118" s="13"/>
      <c r="H118" s="29"/>
      <c r="I118" s="42"/>
      <c r="J118" s="43">
        <v>46265</v>
      </c>
      <c r="K118" s="41">
        <v>7</v>
      </c>
      <c r="L118" s="23"/>
      <c r="M118" s="25" t="b">
        <v>0</v>
      </c>
      <c r="N118" s="51" t="str">
        <f t="shared" ca="1" si="4"/>
        <v/>
      </c>
      <c r="O118" s="24"/>
      <c r="P118" s="25" t="b">
        <v>0</v>
      </c>
      <c r="Q118" s="78" t="b">
        <v>0</v>
      </c>
      <c r="R118" s="81"/>
      <c r="S118" s="2"/>
      <c r="T118" s="2"/>
    </row>
    <row r="119" spans="1:20" ht="15" customHeight="1" x14ac:dyDescent="0.25">
      <c r="A119" s="36" t="s">
        <v>242</v>
      </c>
      <c r="B119" s="4" t="b">
        <v>0</v>
      </c>
      <c r="C119" s="51" t="str">
        <f t="shared" ca="1" si="5"/>
        <v/>
      </c>
      <c r="D119" s="1">
        <v>46128</v>
      </c>
      <c r="E119" s="5" t="s">
        <v>42</v>
      </c>
      <c r="F119" s="27" t="s">
        <v>243</v>
      </c>
      <c r="G119" s="13"/>
      <c r="H119" s="29"/>
      <c r="I119" s="42"/>
      <c r="J119" s="43">
        <v>46265</v>
      </c>
      <c r="K119" s="41">
        <v>7</v>
      </c>
      <c r="L119" s="23"/>
      <c r="M119" s="25" t="b">
        <v>0</v>
      </c>
      <c r="N119" s="51" t="str">
        <f t="shared" ca="1" si="4"/>
        <v/>
      </c>
      <c r="O119" s="24"/>
      <c r="P119" s="25" t="b">
        <v>0</v>
      </c>
      <c r="Q119" s="78" t="b">
        <v>0</v>
      </c>
      <c r="R119" s="81"/>
      <c r="S119" s="2"/>
      <c r="T119" s="2"/>
    </row>
    <row r="120" spans="1:20" ht="15" customHeight="1" x14ac:dyDescent="0.25">
      <c r="A120" s="36" t="s">
        <v>242</v>
      </c>
      <c r="B120" s="4" t="b">
        <v>0</v>
      </c>
      <c r="C120" s="51" t="str">
        <f t="shared" ca="1" si="5"/>
        <v/>
      </c>
      <c r="D120" s="1">
        <v>46128</v>
      </c>
      <c r="E120" s="5" t="s">
        <v>42</v>
      </c>
      <c r="F120" s="27" t="s">
        <v>244</v>
      </c>
      <c r="G120" s="13"/>
      <c r="H120" s="29"/>
      <c r="I120" s="42"/>
      <c r="J120" s="43">
        <v>46280</v>
      </c>
      <c r="K120" s="41">
        <v>7</v>
      </c>
      <c r="L120" s="23"/>
      <c r="M120" s="25" t="b">
        <v>0</v>
      </c>
      <c r="N120" s="51" t="str">
        <f t="shared" ca="1" si="4"/>
        <v/>
      </c>
      <c r="O120" s="24"/>
      <c r="P120" s="25" t="b">
        <v>0</v>
      </c>
      <c r="Q120" s="78" t="b">
        <v>0</v>
      </c>
      <c r="R120" s="81"/>
      <c r="S120" s="2"/>
      <c r="T120" s="2"/>
    </row>
    <row r="121" spans="1:20" ht="15" customHeight="1" x14ac:dyDescent="0.25">
      <c r="A121" s="36" t="s">
        <v>147</v>
      </c>
      <c r="B121" s="4" t="b">
        <v>0</v>
      </c>
      <c r="C121" s="51" t="str">
        <f t="shared" ca="1" si="5"/>
        <v/>
      </c>
      <c r="D121" s="1">
        <v>46058</v>
      </c>
      <c r="E121" s="5" t="s">
        <v>42</v>
      </c>
      <c r="F121" s="27" t="s">
        <v>148</v>
      </c>
      <c r="G121" s="13" t="s">
        <v>149</v>
      </c>
      <c r="H121" s="29"/>
      <c r="I121" s="72">
        <v>46132</v>
      </c>
      <c r="J121" s="43">
        <v>46284</v>
      </c>
      <c r="K121" s="41">
        <v>7</v>
      </c>
      <c r="L121" s="110"/>
      <c r="M121" s="25" t="b">
        <v>0</v>
      </c>
      <c r="N121" s="51" t="str">
        <f t="shared" ca="1" si="4"/>
        <v/>
      </c>
      <c r="O121" s="111"/>
      <c r="P121" s="25" t="b">
        <v>0</v>
      </c>
      <c r="Q121" s="78" t="b">
        <v>0</v>
      </c>
      <c r="R121" s="81" t="s">
        <v>68</v>
      </c>
      <c r="S121" s="2"/>
      <c r="T121" s="2"/>
    </row>
    <row r="122" spans="1:20" ht="15" customHeight="1" x14ac:dyDescent="0.25">
      <c r="A122" s="36" t="s">
        <v>147</v>
      </c>
      <c r="B122" s="4" t="b">
        <v>0</v>
      </c>
      <c r="C122" s="51" t="str">
        <f t="shared" ca="1" si="5"/>
        <v/>
      </c>
      <c r="D122" s="1">
        <v>46058</v>
      </c>
      <c r="E122" s="5" t="s">
        <v>42</v>
      </c>
      <c r="F122" s="27" t="s">
        <v>150</v>
      </c>
      <c r="G122" s="112" t="s">
        <v>151</v>
      </c>
      <c r="H122" s="29"/>
      <c r="I122" s="72">
        <v>46178</v>
      </c>
      <c r="J122" s="43">
        <v>46284</v>
      </c>
      <c r="K122" s="41">
        <v>7</v>
      </c>
      <c r="L122" s="23"/>
      <c r="M122" s="25" t="b">
        <v>0</v>
      </c>
      <c r="N122" s="51" t="str">
        <f t="shared" ca="1" si="4"/>
        <v/>
      </c>
      <c r="O122" s="24">
        <v>46328</v>
      </c>
      <c r="P122" s="25" t="b">
        <v>0</v>
      </c>
      <c r="Q122" s="78" t="b">
        <v>0</v>
      </c>
      <c r="R122" s="81" t="s">
        <v>152</v>
      </c>
      <c r="S122" s="2"/>
      <c r="T122" s="2"/>
    </row>
    <row r="123" spans="1:20" ht="15" customHeight="1" x14ac:dyDescent="0.25">
      <c r="A123" s="36" t="s">
        <v>146</v>
      </c>
      <c r="B123" s="4" t="b">
        <v>0</v>
      </c>
      <c r="C123" s="51" t="str">
        <f t="shared" ca="1" si="5"/>
        <v/>
      </c>
      <c r="D123" s="1">
        <v>46062</v>
      </c>
      <c r="E123" s="5" t="s">
        <v>42</v>
      </c>
      <c r="F123" s="48" t="s">
        <v>248</v>
      </c>
      <c r="G123" s="113"/>
      <c r="H123" s="93"/>
      <c r="I123" s="42"/>
      <c r="J123" s="43">
        <v>46327</v>
      </c>
      <c r="K123" s="41">
        <v>7</v>
      </c>
      <c r="L123" s="23"/>
      <c r="M123" s="25" t="b">
        <v>0</v>
      </c>
      <c r="N123" s="51" t="str">
        <f t="shared" ca="1" si="4"/>
        <v/>
      </c>
      <c r="O123" s="24"/>
      <c r="P123" s="25" t="b">
        <v>0</v>
      </c>
      <c r="Q123" s="78" t="b">
        <v>0</v>
      </c>
      <c r="R123" s="81"/>
      <c r="S123" s="2"/>
      <c r="T123" s="2"/>
    </row>
    <row r="124" spans="1:20" ht="14.45" customHeight="1" x14ac:dyDescent="0.25">
      <c r="A124" s="36" t="s">
        <v>145</v>
      </c>
      <c r="B124" s="4" t="b">
        <v>0</v>
      </c>
      <c r="C124" s="51" t="str">
        <f t="shared" ca="1" si="5"/>
        <v/>
      </c>
      <c r="D124" s="1">
        <v>46062</v>
      </c>
      <c r="E124" s="5" t="s">
        <v>42</v>
      </c>
      <c r="F124" s="48" t="s">
        <v>143</v>
      </c>
      <c r="G124" s="116"/>
      <c r="H124" s="29"/>
      <c r="I124" s="119"/>
      <c r="J124" s="43">
        <v>46341</v>
      </c>
      <c r="K124" s="41">
        <v>7</v>
      </c>
      <c r="L124" s="23"/>
      <c r="M124" s="25" t="b">
        <v>0</v>
      </c>
      <c r="N124" s="51" t="str">
        <f t="shared" ca="1" si="4"/>
        <v/>
      </c>
      <c r="O124" s="24"/>
      <c r="P124" s="25" t="b">
        <v>0</v>
      </c>
      <c r="Q124" s="78" t="b">
        <v>0</v>
      </c>
      <c r="R124" s="81"/>
      <c r="S124" s="2"/>
      <c r="T124" s="2"/>
    </row>
    <row r="125" spans="1:20" ht="14.45" customHeight="1" x14ac:dyDescent="0.25">
      <c r="A125" s="36" t="s">
        <v>146</v>
      </c>
      <c r="B125" s="4" t="b">
        <v>0</v>
      </c>
      <c r="C125" s="51" t="str">
        <f t="shared" ca="1" si="5"/>
        <v/>
      </c>
      <c r="D125" s="1">
        <v>46062</v>
      </c>
      <c r="E125" s="5" t="s">
        <v>42</v>
      </c>
      <c r="F125" s="48" t="s">
        <v>143</v>
      </c>
      <c r="G125" s="13"/>
      <c r="H125" s="29"/>
      <c r="I125" s="42"/>
      <c r="J125" s="43">
        <v>46342</v>
      </c>
      <c r="K125" s="41">
        <v>7</v>
      </c>
      <c r="L125" s="23"/>
      <c r="M125" s="25" t="b">
        <v>0</v>
      </c>
      <c r="N125" s="51" t="str">
        <f t="shared" ca="1" si="4"/>
        <v/>
      </c>
      <c r="O125" s="24"/>
      <c r="P125" s="25" t="b">
        <v>0</v>
      </c>
      <c r="Q125" s="78" t="b">
        <v>0</v>
      </c>
      <c r="R125" s="81"/>
      <c r="S125" s="2"/>
      <c r="T125" s="2"/>
    </row>
    <row r="126" spans="1:20" x14ac:dyDescent="0.25">
      <c r="A126" s="36" t="s">
        <v>258</v>
      </c>
      <c r="B126" s="4" t="b">
        <v>0</v>
      </c>
      <c r="C126" s="51" t="str">
        <f t="shared" ca="1" si="5"/>
        <v/>
      </c>
      <c r="D126" s="1">
        <v>46135</v>
      </c>
      <c r="E126" s="5" t="s">
        <v>42</v>
      </c>
      <c r="F126" s="27" t="s">
        <v>74</v>
      </c>
      <c r="G126" s="13" t="s">
        <v>260</v>
      </c>
      <c r="H126" s="29"/>
      <c r="I126" s="42" t="s">
        <v>28</v>
      </c>
      <c r="J126" s="43">
        <v>46157</v>
      </c>
      <c r="K126" s="41">
        <v>7</v>
      </c>
      <c r="L126" s="23"/>
      <c r="M126" s="25" t="b">
        <v>0</v>
      </c>
      <c r="N126" s="51" t="str">
        <f t="shared" ca="1" si="4"/>
        <v/>
      </c>
      <c r="O126" s="24"/>
      <c r="P126" s="25" t="b">
        <v>0</v>
      </c>
      <c r="Q126" s="78" t="b">
        <v>0</v>
      </c>
      <c r="R126" s="81"/>
      <c r="S126" s="2"/>
      <c r="T126" s="2"/>
    </row>
    <row r="127" spans="1:20" x14ac:dyDescent="0.25">
      <c r="A127" s="36" t="s">
        <v>258</v>
      </c>
      <c r="B127" s="4" t="b">
        <v>0</v>
      </c>
      <c r="C127" s="51" t="str">
        <f t="shared" ca="1" si="5"/>
        <v/>
      </c>
      <c r="D127" s="1">
        <v>46135</v>
      </c>
      <c r="E127" s="5" t="s">
        <v>42</v>
      </c>
      <c r="F127" s="27" t="s">
        <v>107</v>
      </c>
      <c r="G127" s="13" t="s">
        <v>261</v>
      </c>
      <c r="H127" s="29"/>
      <c r="I127" s="42">
        <v>46175</v>
      </c>
      <c r="J127" s="43">
        <v>46177</v>
      </c>
      <c r="K127" s="41">
        <v>7</v>
      </c>
      <c r="L127" s="23"/>
      <c r="M127" s="25" t="b">
        <v>0</v>
      </c>
      <c r="N127" s="51" t="str">
        <f t="shared" ca="1" si="4"/>
        <v/>
      </c>
      <c r="O127" s="24"/>
      <c r="P127" s="25" t="b">
        <v>0</v>
      </c>
      <c r="Q127" s="78" t="b">
        <v>0</v>
      </c>
      <c r="R127" s="81"/>
      <c r="S127" s="2"/>
      <c r="T127" s="2"/>
    </row>
    <row r="128" spans="1:20" x14ac:dyDescent="0.25">
      <c r="A128" s="36" t="s">
        <v>258</v>
      </c>
      <c r="B128" s="4" t="b">
        <v>0</v>
      </c>
      <c r="C128" s="51" t="str">
        <f t="shared" ca="1" si="5"/>
        <v/>
      </c>
      <c r="D128" s="1">
        <v>46135</v>
      </c>
      <c r="E128" s="5" t="s">
        <v>42</v>
      </c>
      <c r="F128" s="27" t="s">
        <v>259</v>
      </c>
      <c r="G128" s="13" t="s">
        <v>261</v>
      </c>
      <c r="H128" s="29"/>
      <c r="I128" s="42">
        <v>46175</v>
      </c>
      <c r="J128" s="43">
        <v>46177</v>
      </c>
      <c r="K128" s="41">
        <v>7</v>
      </c>
      <c r="L128" s="23"/>
      <c r="M128" s="25" t="b">
        <v>0</v>
      </c>
      <c r="N128" s="51" t="str">
        <f t="shared" ca="1" si="4"/>
        <v/>
      </c>
      <c r="O128" s="24"/>
      <c r="P128" s="25" t="b">
        <v>0</v>
      </c>
      <c r="Q128" s="78" t="b">
        <v>0</v>
      </c>
      <c r="R128" s="81"/>
      <c r="S128" s="2"/>
      <c r="T128" s="2"/>
    </row>
    <row r="129" spans="1:20" x14ac:dyDescent="0.25">
      <c r="A129" s="36"/>
      <c r="B129" s="4" t="b">
        <v>0</v>
      </c>
      <c r="C129" s="51" t="str">
        <f t="shared" ca="1" si="5"/>
        <v/>
      </c>
      <c r="D129" s="1"/>
      <c r="E129" s="5"/>
      <c r="F129" s="27"/>
      <c r="G129" s="13"/>
      <c r="H129" s="29"/>
      <c r="I129" s="42"/>
      <c r="J129" s="43"/>
      <c r="K129" s="41">
        <v>7</v>
      </c>
      <c r="L129" s="23"/>
      <c r="M129" s="25" t="b">
        <v>0</v>
      </c>
      <c r="N129" s="51" t="str">
        <f t="shared" ca="1" si="4"/>
        <v/>
      </c>
      <c r="O129" s="24"/>
      <c r="P129" s="25" t="b">
        <v>0</v>
      </c>
      <c r="Q129" s="78" t="b">
        <v>0</v>
      </c>
      <c r="R129" s="81"/>
      <c r="S129" s="2"/>
      <c r="T129" s="2"/>
    </row>
    <row r="130" spans="1:20" x14ac:dyDescent="0.25">
      <c r="A130" s="36"/>
      <c r="B130" s="4" t="b">
        <v>0</v>
      </c>
      <c r="C130" s="51" t="str">
        <f t="shared" ca="1" si="5"/>
        <v/>
      </c>
      <c r="D130" s="1"/>
      <c r="E130" s="5"/>
      <c r="F130" s="27"/>
      <c r="G130" s="13"/>
      <c r="H130" s="29"/>
      <c r="I130" s="42"/>
      <c r="J130" s="43"/>
      <c r="K130" s="41">
        <v>7</v>
      </c>
      <c r="L130" s="23"/>
      <c r="M130" s="25" t="b">
        <v>0</v>
      </c>
      <c r="N130" s="51" t="str">
        <f t="shared" ca="1" si="4"/>
        <v/>
      </c>
      <c r="O130" s="24"/>
      <c r="P130" s="25" t="b">
        <v>0</v>
      </c>
      <c r="Q130" s="78" t="b">
        <v>0</v>
      </c>
      <c r="R130" s="81"/>
      <c r="S130" s="2"/>
      <c r="T130" s="2"/>
    </row>
    <row r="131" spans="1:20" x14ac:dyDescent="0.25">
      <c r="A131" s="36"/>
      <c r="B131" s="4" t="b">
        <v>0</v>
      </c>
      <c r="C131" s="51" t="str">
        <f t="shared" ca="1" si="5"/>
        <v/>
      </c>
      <c r="D131" s="1"/>
      <c r="E131" s="5"/>
      <c r="F131" s="27"/>
      <c r="G131" s="13"/>
      <c r="H131" s="29"/>
      <c r="I131" s="42"/>
      <c r="J131" s="43"/>
      <c r="K131" s="41">
        <v>7</v>
      </c>
      <c r="L131" s="23"/>
      <c r="M131" s="25" t="b">
        <v>0</v>
      </c>
      <c r="N131" s="51" t="str">
        <f t="shared" ref="N131:N162" ca="1" si="6">IF(M131=TRUE, IF(OR(N131=0, N131=""), NOW(), N131), "")</f>
        <v/>
      </c>
      <c r="O131" s="24"/>
      <c r="P131" s="25" t="b">
        <v>0</v>
      </c>
      <c r="Q131" s="78" t="b">
        <v>0</v>
      </c>
      <c r="R131" s="81"/>
      <c r="S131" s="2"/>
      <c r="T131" s="2"/>
    </row>
    <row r="132" spans="1:20" x14ac:dyDescent="0.25">
      <c r="A132" s="36"/>
      <c r="B132" s="4" t="b">
        <v>0</v>
      </c>
      <c r="C132" s="51" t="str">
        <f t="shared" ca="1" si="5"/>
        <v/>
      </c>
      <c r="D132" s="1"/>
      <c r="E132" s="5"/>
      <c r="F132" s="27"/>
      <c r="G132" s="13"/>
      <c r="H132" s="29"/>
      <c r="I132" s="42"/>
      <c r="J132" s="43"/>
      <c r="K132" s="41">
        <v>7</v>
      </c>
      <c r="L132" s="23"/>
      <c r="M132" s="25" t="b">
        <v>0</v>
      </c>
      <c r="N132" s="51" t="str">
        <f t="shared" ca="1" si="6"/>
        <v/>
      </c>
      <c r="O132" s="24"/>
      <c r="P132" s="25" t="b">
        <v>0</v>
      </c>
      <c r="Q132" s="78" t="b">
        <v>0</v>
      </c>
      <c r="R132" s="81"/>
      <c r="S132" s="2"/>
      <c r="T132" s="2"/>
    </row>
    <row r="133" spans="1:20" x14ac:dyDescent="0.25">
      <c r="A133" s="36"/>
      <c r="B133" s="4" t="b">
        <v>0</v>
      </c>
      <c r="C133" s="51" t="str">
        <f t="shared" ca="1" si="5"/>
        <v/>
      </c>
      <c r="D133" s="1"/>
      <c r="E133" s="5"/>
      <c r="F133" s="27"/>
      <c r="G133" s="13"/>
      <c r="H133" s="29"/>
      <c r="I133" s="42"/>
      <c r="J133" s="43"/>
      <c r="K133" s="41">
        <v>7</v>
      </c>
      <c r="L133" s="23"/>
      <c r="M133" s="25" t="b">
        <v>0</v>
      </c>
      <c r="N133" s="51" t="str">
        <f t="shared" ca="1" si="6"/>
        <v/>
      </c>
      <c r="O133" s="24"/>
      <c r="P133" s="25" t="b">
        <v>0</v>
      </c>
      <c r="Q133" s="78" t="b">
        <v>0</v>
      </c>
      <c r="R133" s="81"/>
      <c r="S133" s="2"/>
      <c r="T133" s="2"/>
    </row>
    <row r="134" spans="1:20" x14ac:dyDescent="0.25">
      <c r="A134" s="36"/>
      <c r="B134" s="4" t="b">
        <v>0</v>
      </c>
      <c r="C134" s="51" t="str">
        <f t="shared" ca="1" si="5"/>
        <v/>
      </c>
      <c r="D134" s="1"/>
      <c r="E134" s="5"/>
      <c r="F134" s="27"/>
      <c r="G134" s="13"/>
      <c r="H134" s="29"/>
      <c r="I134" s="42"/>
      <c r="J134" s="43"/>
      <c r="K134" s="41">
        <v>7</v>
      </c>
      <c r="L134" s="23"/>
      <c r="M134" s="25" t="b">
        <v>0</v>
      </c>
      <c r="N134" s="51" t="str">
        <f t="shared" ca="1" si="6"/>
        <v/>
      </c>
      <c r="O134" s="24"/>
      <c r="P134" s="25" t="b">
        <v>0</v>
      </c>
      <c r="Q134" s="78" t="b">
        <v>0</v>
      </c>
      <c r="R134" s="81"/>
      <c r="S134" s="2"/>
      <c r="T134" s="2"/>
    </row>
    <row r="135" spans="1:20" x14ac:dyDescent="0.25">
      <c r="A135" s="36"/>
      <c r="B135" s="4" t="b">
        <v>0</v>
      </c>
      <c r="C135" s="51" t="str">
        <f t="shared" ca="1" si="5"/>
        <v/>
      </c>
      <c r="D135" s="1"/>
      <c r="E135" s="5"/>
      <c r="F135" s="27"/>
      <c r="G135" s="13"/>
      <c r="H135" s="29"/>
      <c r="I135" s="42"/>
      <c r="J135" s="43"/>
      <c r="K135" s="41">
        <v>7</v>
      </c>
      <c r="L135" s="23"/>
      <c r="M135" s="25" t="b">
        <v>0</v>
      </c>
      <c r="N135" s="51" t="str">
        <f t="shared" ca="1" si="6"/>
        <v/>
      </c>
      <c r="O135" s="24"/>
      <c r="P135" s="25" t="b">
        <v>0</v>
      </c>
      <c r="Q135" s="78" t="b">
        <v>0</v>
      </c>
      <c r="R135" s="81"/>
      <c r="S135" s="2"/>
      <c r="T135" s="2"/>
    </row>
    <row r="136" spans="1:20" x14ac:dyDescent="0.25">
      <c r="A136" s="36"/>
      <c r="B136" s="4" t="b">
        <v>0</v>
      </c>
      <c r="C136" s="51" t="str">
        <f t="shared" ca="1" si="5"/>
        <v/>
      </c>
      <c r="D136" s="1"/>
      <c r="E136" s="5"/>
      <c r="F136" s="27"/>
      <c r="G136" s="13"/>
      <c r="H136" s="29"/>
      <c r="I136" s="42"/>
      <c r="J136" s="43"/>
      <c r="K136" s="41">
        <v>7</v>
      </c>
      <c r="L136" s="23"/>
      <c r="M136" s="25" t="b">
        <v>0</v>
      </c>
      <c r="N136" s="51" t="str">
        <f t="shared" ca="1" si="6"/>
        <v/>
      </c>
      <c r="O136" s="24"/>
      <c r="P136" s="25" t="b">
        <v>0</v>
      </c>
      <c r="Q136" s="78" t="b">
        <v>0</v>
      </c>
      <c r="R136" s="81"/>
      <c r="S136" s="2"/>
      <c r="T136" s="2"/>
    </row>
    <row r="137" spans="1:20" x14ac:dyDescent="0.25">
      <c r="A137" s="36"/>
      <c r="B137" s="4" t="b">
        <v>0</v>
      </c>
      <c r="C137" s="51" t="str">
        <f t="shared" ref="C137:C168" ca="1" si="7">IF(B137=TRUE, IF(OR(C137=0, C137=""), NOW(), C137), "")</f>
        <v/>
      </c>
      <c r="D137" s="1"/>
      <c r="E137" s="5"/>
      <c r="F137" s="27"/>
      <c r="G137" s="13"/>
      <c r="H137" s="29"/>
      <c r="I137" s="42"/>
      <c r="J137" s="43"/>
      <c r="K137" s="41">
        <v>7</v>
      </c>
      <c r="L137" s="23"/>
      <c r="M137" s="25" t="b">
        <v>0</v>
      </c>
      <c r="N137" s="51" t="str">
        <f t="shared" ca="1" si="6"/>
        <v/>
      </c>
      <c r="O137" s="24"/>
      <c r="P137" s="25" t="b">
        <v>0</v>
      </c>
      <c r="Q137" s="78" t="b">
        <v>0</v>
      </c>
      <c r="R137" s="81"/>
      <c r="S137" s="2"/>
      <c r="T137" s="2"/>
    </row>
    <row r="138" spans="1:20" ht="14.45" customHeight="1" x14ac:dyDescent="0.25">
      <c r="A138" s="36"/>
      <c r="B138" s="4" t="b">
        <v>0</v>
      </c>
      <c r="C138" s="51" t="str">
        <f t="shared" ca="1" si="7"/>
        <v/>
      </c>
      <c r="D138" s="1"/>
      <c r="E138" s="5"/>
      <c r="F138" s="27"/>
      <c r="G138" s="13"/>
      <c r="H138" s="29"/>
      <c r="I138" s="38"/>
      <c r="J138" s="43"/>
      <c r="K138" s="41">
        <v>7</v>
      </c>
      <c r="L138" s="23"/>
      <c r="M138" s="25" t="b">
        <v>0</v>
      </c>
      <c r="N138" s="51" t="str">
        <f t="shared" ca="1" si="6"/>
        <v/>
      </c>
      <c r="O138" s="24"/>
      <c r="P138" s="25" t="b">
        <v>0</v>
      </c>
      <c r="Q138" s="78" t="b">
        <v>0</v>
      </c>
      <c r="R138" s="81"/>
      <c r="S138" s="2"/>
      <c r="T138" s="2"/>
    </row>
    <row r="139" spans="1:20" ht="14.45" customHeight="1" x14ac:dyDescent="0.25">
      <c r="A139" s="36"/>
      <c r="B139" s="4" t="b">
        <v>0</v>
      </c>
      <c r="C139" s="51" t="str">
        <f t="shared" ca="1" si="7"/>
        <v/>
      </c>
      <c r="D139" s="1"/>
      <c r="E139" s="5"/>
      <c r="F139" s="27"/>
      <c r="G139" s="13"/>
      <c r="H139" s="29"/>
      <c r="I139" s="42"/>
      <c r="J139" s="43"/>
      <c r="K139" s="41">
        <v>7</v>
      </c>
      <c r="L139" s="23"/>
      <c r="M139" s="25" t="b">
        <v>0</v>
      </c>
      <c r="N139" s="51" t="str">
        <f t="shared" ca="1" si="6"/>
        <v/>
      </c>
      <c r="O139" s="24"/>
      <c r="P139" s="25" t="b">
        <v>0</v>
      </c>
      <c r="Q139" s="78" t="b">
        <v>0</v>
      </c>
      <c r="R139" s="81"/>
      <c r="S139" s="2"/>
      <c r="T139" s="2"/>
    </row>
    <row r="140" spans="1:20" x14ac:dyDescent="0.25">
      <c r="A140" s="36"/>
      <c r="B140" s="4" t="b">
        <v>0</v>
      </c>
      <c r="C140" s="51" t="str">
        <f t="shared" ca="1" si="7"/>
        <v/>
      </c>
      <c r="D140" s="1"/>
      <c r="E140" s="5"/>
      <c r="F140" s="27"/>
      <c r="G140" s="13"/>
      <c r="H140" s="29"/>
      <c r="I140" s="42"/>
      <c r="J140" s="43"/>
      <c r="K140" s="41">
        <v>7</v>
      </c>
      <c r="L140" s="23"/>
      <c r="M140" s="25" t="b">
        <v>0</v>
      </c>
      <c r="N140" s="51" t="str">
        <f t="shared" ca="1" si="6"/>
        <v/>
      </c>
      <c r="O140" s="24"/>
      <c r="P140" s="25" t="b">
        <v>0</v>
      </c>
      <c r="Q140" s="78" t="b">
        <v>0</v>
      </c>
      <c r="R140" s="81"/>
      <c r="S140" s="2"/>
      <c r="T140" s="2"/>
    </row>
    <row r="141" spans="1:20" x14ac:dyDescent="0.25">
      <c r="A141" s="36"/>
      <c r="B141" s="4" t="b">
        <v>0</v>
      </c>
      <c r="C141" s="51" t="str">
        <f t="shared" ca="1" si="7"/>
        <v/>
      </c>
      <c r="D141" s="1"/>
      <c r="E141" s="5"/>
      <c r="F141" s="27"/>
      <c r="G141" s="13"/>
      <c r="H141" s="29"/>
      <c r="I141" s="42"/>
      <c r="J141" s="43"/>
      <c r="K141" s="41">
        <v>7</v>
      </c>
      <c r="L141" s="23"/>
      <c r="M141" s="25" t="b">
        <v>0</v>
      </c>
      <c r="N141" s="51" t="str">
        <f t="shared" ca="1" si="6"/>
        <v/>
      </c>
      <c r="O141" s="24"/>
      <c r="P141" s="25" t="b">
        <v>0</v>
      </c>
      <c r="Q141" s="78" t="b">
        <v>0</v>
      </c>
      <c r="R141" s="81"/>
      <c r="S141" s="2"/>
      <c r="T141" s="2"/>
    </row>
    <row r="142" spans="1:20" x14ac:dyDescent="0.25">
      <c r="A142" s="36"/>
      <c r="B142" s="4" t="b">
        <v>0</v>
      </c>
      <c r="C142" s="51" t="str">
        <f t="shared" ca="1" si="7"/>
        <v/>
      </c>
      <c r="D142" s="1"/>
      <c r="E142" s="5"/>
      <c r="F142" s="27"/>
      <c r="G142" s="13"/>
      <c r="H142" s="29"/>
      <c r="I142" s="42"/>
      <c r="J142" s="43"/>
      <c r="K142" s="41">
        <v>7</v>
      </c>
      <c r="L142" s="23"/>
      <c r="M142" s="25" t="b">
        <v>0</v>
      </c>
      <c r="N142" s="51" t="str">
        <f t="shared" ca="1" si="6"/>
        <v/>
      </c>
      <c r="O142" s="24"/>
      <c r="P142" s="25" t="b">
        <v>0</v>
      </c>
      <c r="Q142" s="78" t="b">
        <v>0</v>
      </c>
      <c r="R142" s="81"/>
      <c r="S142" s="2"/>
      <c r="T142" s="2"/>
    </row>
    <row r="143" spans="1:20" ht="14.45" customHeight="1" x14ac:dyDescent="0.25">
      <c r="A143" s="36"/>
      <c r="B143" s="4" t="b">
        <v>0</v>
      </c>
      <c r="C143" s="51" t="str">
        <f t="shared" ca="1" si="7"/>
        <v/>
      </c>
      <c r="D143" s="1"/>
      <c r="E143" s="5"/>
      <c r="F143" s="27"/>
      <c r="G143" s="13"/>
      <c r="H143" s="29"/>
      <c r="I143" s="38"/>
      <c r="J143" s="43"/>
      <c r="K143" s="41">
        <v>7</v>
      </c>
      <c r="L143" s="23"/>
      <c r="M143" s="25" t="b">
        <v>0</v>
      </c>
      <c r="N143" s="51" t="str">
        <f t="shared" ca="1" si="6"/>
        <v/>
      </c>
      <c r="O143" s="24"/>
      <c r="P143" s="25" t="b">
        <v>0</v>
      </c>
      <c r="Q143" s="78" t="b">
        <v>0</v>
      </c>
      <c r="R143" s="81"/>
      <c r="S143" s="2"/>
      <c r="T143" s="2"/>
    </row>
    <row r="144" spans="1:20" ht="14.45" customHeight="1" x14ac:dyDescent="0.25">
      <c r="A144" s="36"/>
      <c r="B144" s="4" t="b">
        <v>0</v>
      </c>
      <c r="C144" s="51" t="str">
        <f t="shared" ca="1" si="7"/>
        <v/>
      </c>
      <c r="D144" s="1"/>
      <c r="E144" s="5"/>
      <c r="F144" s="27"/>
      <c r="G144" s="13"/>
      <c r="H144" s="29"/>
      <c r="I144" s="42"/>
      <c r="J144" s="43"/>
      <c r="K144" s="41">
        <v>7</v>
      </c>
      <c r="L144" s="23"/>
      <c r="M144" s="25" t="b">
        <v>0</v>
      </c>
      <c r="N144" s="51" t="str">
        <f t="shared" ca="1" si="6"/>
        <v/>
      </c>
      <c r="O144" s="24"/>
      <c r="P144" s="25" t="b">
        <v>0</v>
      </c>
      <c r="Q144" s="78" t="b">
        <v>0</v>
      </c>
      <c r="R144" s="81"/>
      <c r="S144" s="2"/>
      <c r="T144" s="2"/>
    </row>
    <row r="145" spans="1:20" x14ac:dyDescent="0.25">
      <c r="A145" s="36"/>
      <c r="B145" s="4" t="b">
        <v>0</v>
      </c>
      <c r="C145" s="51" t="str">
        <f t="shared" ca="1" si="7"/>
        <v/>
      </c>
      <c r="D145" s="1"/>
      <c r="E145" s="5"/>
      <c r="F145" s="27"/>
      <c r="G145" s="13"/>
      <c r="H145" s="29"/>
      <c r="I145" s="42"/>
      <c r="J145" s="43"/>
      <c r="K145" s="41">
        <v>7</v>
      </c>
      <c r="L145" s="23"/>
      <c r="M145" s="25" t="b">
        <v>0</v>
      </c>
      <c r="N145" s="51" t="str">
        <f t="shared" ca="1" si="6"/>
        <v/>
      </c>
      <c r="O145" s="24"/>
      <c r="P145" s="25" t="b">
        <v>0</v>
      </c>
      <c r="Q145" s="78" t="b">
        <v>0</v>
      </c>
      <c r="R145" s="81"/>
      <c r="S145" s="2"/>
      <c r="T145" s="2"/>
    </row>
    <row r="146" spans="1:20" x14ac:dyDescent="0.25">
      <c r="A146" s="36"/>
      <c r="B146" s="4" t="b">
        <v>0</v>
      </c>
      <c r="C146" s="51" t="str">
        <f t="shared" ca="1" si="7"/>
        <v/>
      </c>
      <c r="D146" s="1"/>
      <c r="E146" s="5"/>
      <c r="F146" s="27"/>
      <c r="G146" s="13"/>
      <c r="H146" s="29"/>
      <c r="I146" s="42"/>
      <c r="J146" s="43"/>
      <c r="K146" s="41">
        <v>7</v>
      </c>
      <c r="L146" s="23"/>
      <c r="M146" s="25" t="b">
        <v>0</v>
      </c>
      <c r="N146" s="51" t="str">
        <f t="shared" ca="1" si="6"/>
        <v/>
      </c>
      <c r="O146" s="24"/>
      <c r="P146" s="25" t="b">
        <v>0</v>
      </c>
      <c r="Q146" s="78" t="b">
        <v>0</v>
      </c>
      <c r="R146" s="81"/>
      <c r="S146" s="2"/>
      <c r="T146" s="2"/>
    </row>
    <row r="147" spans="1:20" x14ac:dyDescent="0.25">
      <c r="A147" s="36"/>
      <c r="B147" s="4" t="b">
        <v>0</v>
      </c>
      <c r="C147" s="51" t="str">
        <f t="shared" ca="1" si="7"/>
        <v/>
      </c>
      <c r="D147" s="1"/>
      <c r="E147" s="5"/>
      <c r="F147" s="27"/>
      <c r="G147" s="13"/>
      <c r="H147" s="29"/>
      <c r="I147" s="42"/>
      <c r="J147" s="43"/>
      <c r="K147" s="41">
        <v>7</v>
      </c>
      <c r="L147" s="23"/>
      <c r="M147" s="25" t="b">
        <v>0</v>
      </c>
      <c r="N147" s="51" t="str">
        <f t="shared" ca="1" si="6"/>
        <v/>
      </c>
      <c r="O147" s="24"/>
      <c r="P147" s="25" t="b">
        <v>0</v>
      </c>
      <c r="Q147" s="78" t="b">
        <v>0</v>
      </c>
      <c r="R147" s="81"/>
      <c r="S147" s="2"/>
      <c r="T147" s="2"/>
    </row>
    <row r="148" spans="1:20" x14ac:dyDescent="0.25">
      <c r="A148" s="36"/>
      <c r="B148" s="4" t="b">
        <v>0</v>
      </c>
      <c r="C148" s="51" t="str">
        <f t="shared" ca="1" si="7"/>
        <v/>
      </c>
      <c r="D148" s="1"/>
      <c r="E148" s="5"/>
      <c r="F148" s="27"/>
      <c r="G148" s="13"/>
      <c r="H148" s="29"/>
      <c r="I148" s="42"/>
      <c r="J148" s="43"/>
      <c r="K148" s="41">
        <v>7</v>
      </c>
      <c r="L148" s="23"/>
      <c r="M148" s="25" t="b">
        <v>0</v>
      </c>
      <c r="N148" s="51" t="str">
        <f t="shared" ca="1" si="6"/>
        <v/>
      </c>
      <c r="O148" s="24"/>
      <c r="P148" s="25" t="b">
        <v>0</v>
      </c>
      <c r="Q148" s="78" t="b">
        <v>0</v>
      </c>
      <c r="R148" s="81"/>
      <c r="S148" s="2"/>
      <c r="T148" s="2"/>
    </row>
    <row r="149" spans="1:20" x14ac:dyDescent="0.25">
      <c r="A149" s="36"/>
      <c r="B149" s="4" t="b">
        <v>0</v>
      </c>
      <c r="C149" s="51" t="str">
        <f t="shared" ca="1" si="7"/>
        <v/>
      </c>
      <c r="D149" s="1"/>
      <c r="E149" s="5"/>
      <c r="F149" s="27"/>
      <c r="G149" s="13"/>
      <c r="H149" s="29"/>
      <c r="I149" s="42"/>
      <c r="J149" s="43"/>
      <c r="K149" s="41">
        <v>7</v>
      </c>
      <c r="L149" s="23"/>
      <c r="M149" s="25" t="b">
        <v>0</v>
      </c>
      <c r="N149" s="51" t="str">
        <f t="shared" ca="1" si="6"/>
        <v/>
      </c>
      <c r="O149" s="24"/>
      <c r="P149" s="25" t="b">
        <v>0</v>
      </c>
      <c r="Q149" s="78" t="b">
        <v>0</v>
      </c>
      <c r="R149" s="81"/>
      <c r="S149" s="2"/>
      <c r="T149" s="2"/>
    </row>
    <row r="150" spans="1:20" x14ac:dyDescent="0.25">
      <c r="A150" s="36"/>
      <c r="B150" s="4" t="b">
        <v>0</v>
      </c>
      <c r="C150" s="51" t="str">
        <f t="shared" ca="1" si="7"/>
        <v/>
      </c>
      <c r="D150" s="1"/>
      <c r="E150" s="5"/>
      <c r="F150" s="27"/>
      <c r="G150" s="13"/>
      <c r="H150" s="29"/>
      <c r="I150" s="42"/>
      <c r="J150" s="43"/>
      <c r="K150" s="41">
        <v>7</v>
      </c>
      <c r="L150" s="23"/>
      <c r="M150" s="25" t="b">
        <v>0</v>
      </c>
      <c r="N150" s="51" t="str">
        <f t="shared" ca="1" si="6"/>
        <v/>
      </c>
      <c r="O150" s="24"/>
      <c r="P150" s="25" t="b">
        <v>0</v>
      </c>
      <c r="Q150" s="78" t="b">
        <v>0</v>
      </c>
      <c r="R150" s="81"/>
      <c r="S150" s="2"/>
      <c r="T150" s="2"/>
    </row>
    <row r="151" spans="1:20" x14ac:dyDescent="0.25">
      <c r="A151" s="36"/>
      <c r="B151" s="4" t="b">
        <v>0</v>
      </c>
      <c r="C151" s="51" t="str">
        <f t="shared" ca="1" si="7"/>
        <v/>
      </c>
      <c r="D151" s="1"/>
      <c r="E151" s="5"/>
      <c r="F151" s="27"/>
      <c r="G151" s="13"/>
      <c r="H151" s="29"/>
      <c r="I151" s="42"/>
      <c r="J151" s="43"/>
      <c r="K151" s="41">
        <v>7</v>
      </c>
      <c r="L151" s="23"/>
      <c r="M151" s="25" t="b">
        <v>0</v>
      </c>
      <c r="N151" s="51" t="str">
        <f t="shared" ca="1" si="6"/>
        <v/>
      </c>
      <c r="O151" s="24"/>
      <c r="P151" s="25" t="b">
        <v>0</v>
      </c>
      <c r="Q151" s="78" t="b">
        <v>0</v>
      </c>
      <c r="R151" s="81"/>
      <c r="S151" s="2"/>
      <c r="T151" s="2"/>
    </row>
    <row r="152" spans="1:20" x14ac:dyDescent="0.25">
      <c r="A152" s="36"/>
      <c r="B152" s="4" t="b">
        <v>0</v>
      </c>
      <c r="C152" s="51" t="str">
        <f t="shared" ca="1" si="7"/>
        <v/>
      </c>
      <c r="D152" s="1"/>
      <c r="E152" s="5"/>
      <c r="F152" s="27"/>
      <c r="G152" s="13"/>
      <c r="H152" s="29"/>
      <c r="I152" s="42"/>
      <c r="J152" s="43"/>
      <c r="K152" s="41">
        <v>7</v>
      </c>
      <c r="L152" s="23"/>
      <c r="M152" s="25" t="b">
        <v>0</v>
      </c>
      <c r="N152" s="51" t="str">
        <f t="shared" ca="1" si="6"/>
        <v/>
      </c>
      <c r="O152" s="24"/>
      <c r="P152" s="25" t="b">
        <v>0</v>
      </c>
      <c r="Q152" s="78" t="b">
        <v>0</v>
      </c>
      <c r="R152" s="81"/>
      <c r="S152" s="2"/>
      <c r="T152" s="2"/>
    </row>
    <row r="153" spans="1:20" x14ac:dyDescent="0.25">
      <c r="A153" s="36"/>
      <c r="B153" s="4" t="b">
        <v>0</v>
      </c>
      <c r="C153" s="51" t="str">
        <f t="shared" ca="1" si="7"/>
        <v/>
      </c>
      <c r="D153" s="1"/>
      <c r="E153" s="5"/>
      <c r="F153" s="27"/>
      <c r="G153" s="13"/>
      <c r="H153" s="29"/>
      <c r="I153" s="42"/>
      <c r="J153" s="43"/>
      <c r="K153" s="41">
        <v>7</v>
      </c>
      <c r="L153" s="23"/>
      <c r="M153" s="25" t="b">
        <v>0</v>
      </c>
      <c r="N153" s="51" t="str">
        <f t="shared" ca="1" si="6"/>
        <v/>
      </c>
      <c r="O153" s="24"/>
      <c r="P153" s="25" t="b">
        <v>0</v>
      </c>
      <c r="Q153" s="78" t="b">
        <v>0</v>
      </c>
      <c r="R153" s="81"/>
      <c r="S153" s="2"/>
      <c r="T153" s="2"/>
    </row>
    <row r="154" spans="1:20" x14ac:dyDescent="0.25">
      <c r="A154" s="36"/>
      <c r="B154" s="4" t="b">
        <v>0</v>
      </c>
      <c r="C154" s="51" t="str">
        <f t="shared" ca="1" si="7"/>
        <v/>
      </c>
      <c r="D154" s="1"/>
      <c r="E154" s="5"/>
      <c r="F154" s="27"/>
      <c r="G154" s="13"/>
      <c r="H154" s="29"/>
      <c r="I154" s="42"/>
      <c r="J154" s="43"/>
      <c r="K154" s="41">
        <v>7</v>
      </c>
      <c r="L154" s="23"/>
      <c r="M154" s="25" t="b">
        <v>0</v>
      </c>
      <c r="N154" s="51" t="str">
        <f t="shared" ca="1" si="6"/>
        <v/>
      </c>
      <c r="O154" s="24"/>
      <c r="P154" s="25" t="b">
        <v>0</v>
      </c>
      <c r="Q154" s="78" t="b">
        <v>0</v>
      </c>
      <c r="R154" s="81"/>
      <c r="S154" s="2"/>
      <c r="T154" s="2"/>
    </row>
    <row r="155" spans="1:20" x14ac:dyDescent="0.25">
      <c r="A155" s="36"/>
      <c r="B155" s="4" t="b">
        <v>0</v>
      </c>
      <c r="C155" s="51" t="str">
        <f t="shared" ca="1" si="7"/>
        <v/>
      </c>
      <c r="D155" s="1"/>
      <c r="E155" s="5"/>
      <c r="F155" s="27"/>
      <c r="G155" s="13"/>
      <c r="H155" s="29"/>
      <c r="I155" s="42"/>
      <c r="J155" s="43"/>
      <c r="K155" s="41">
        <v>7</v>
      </c>
      <c r="L155" s="23"/>
      <c r="M155" s="25" t="b">
        <v>0</v>
      </c>
      <c r="N155" s="51" t="str">
        <f t="shared" ca="1" si="6"/>
        <v/>
      </c>
      <c r="O155" s="24"/>
      <c r="P155" s="25" t="b">
        <v>0</v>
      </c>
      <c r="Q155" s="78" t="b">
        <v>0</v>
      </c>
      <c r="R155" s="81"/>
      <c r="S155" s="2"/>
      <c r="T155" s="2"/>
    </row>
    <row r="156" spans="1:20" x14ac:dyDescent="0.25">
      <c r="A156" s="36"/>
      <c r="B156" s="4" t="b">
        <v>0</v>
      </c>
      <c r="C156" s="51" t="str">
        <f t="shared" ca="1" si="7"/>
        <v/>
      </c>
      <c r="D156" s="1"/>
      <c r="E156" s="5"/>
      <c r="F156" s="27"/>
      <c r="G156" s="13"/>
      <c r="H156" s="29"/>
      <c r="I156" s="42"/>
      <c r="J156" s="43"/>
      <c r="K156" s="41">
        <v>7</v>
      </c>
      <c r="L156" s="23"/>
      <c r="M156" s="25" t="b">
        <v>0</v>
      </c>
      <c r="N156" s="51" t="str">
        <f t="shared" ca="1" si="6"/>
        <v/>
      </c>
      <c r="O156" s="24"/>
      <c r="P156" s="25" t="b">
        <v>0</v>
      </c>
      <c r="Q156" s="78" t="b">
        <v>0</v>
      </c>
      <c r="R156" s="81"/>
      <c r="S156" s="2"/>
      <c r="T156" s="2"/>
    </row>
    <row r="157" spans="1:20" x14ac:dyDescent="0.25">
      <c r="A157" s="36"/>
      <c r="B157" s="4" t="b">
        <v>0</v>
      </c>
      <c r="C157" s="51" t="str">
        <f t="shared" ca="1" si="7"/>
        <v/>
      </c>
      <c r="D157" s="1"/>
      <c r="E157" s="5"/>
      <c r="F157" s="27"/>
      <c r="G157" s="13"/>
      <c r="H157" s="29"/>
      <c r="I157" s="42"/>
      <c r="J157" s="43"/>
      <c r="K157" s="41">
        <v>7</v>
      </c>
      <c r="L157" s="23"/>
      <c r="M157" s="25" t="b">
        <v>0</v>
      </c>
      <c r="N157" s="51" t="str">
        <f t="shared" ca="1" si="6"/>
        <v/>
      </c>
      <c r="O157" s="24"/>
      <c r="P157" s="25" t="b">
        <v>0</v>
      </c>
      <c r="Q157" s="78" t="b">
        <v>0</v>
      </c>
      <c r="R157" s="81"/>
      <c r="S157" s="2"/>
      <c r="T157" s="2"/>
    </row>
    <row r="158" spans="1:20" x14ac:dyDescent="0.25">
      <c r="A158" s="36"/>
      <c r="B158" s="4" t="b">
        <v>0</v>
      </c>
      <c r="C158" s="51" t="str">
        <f t="shared" ca="1" si="7"/>
        <v/>
      </c>
      <c r="D158" s="1"/>
      <c r="E158" s="5"/>
      <c r="F158" s="27"/>
      <c r="G158" s="13"/>
      <c r="H158" s="29"/>
      <c r="I158" s="42"/>
      <c r="J158" s="43"/>
      <c r="K158" s="41">
        <v>7</v>
      </c>
      <c r="L158" s="23"/>
      <c r="M158" s="25" t="b">
        <v>0</v>
      </c>
      <c r="N158" s="51" t="str">
        <f t="shared" ca="1" si="6"/>
        <v/>
      </c>
      <c r="O158" s="24"/>
      <c r="P158" s="25" t="b">
        <v>0</v>
      </c>
      <c r="Q158" s="78" t="b">
        <v>0</v>
      </c>
      <c r="R158" s="81"/>
      <c r="S158" s="2"/>
      <c r="T158" s="2"/>
    </row>
    <row r="159" spans="1:20" x14ac:dyDescent="0.25">
      <c r="A159" s="36"/>
      <c r="B159" s="4" t="b">
        <v>0</v>
      </c>
      <c r="C159" s="51" t="str">
        <f t="shared" ca="1" si="7"/>
        <v/>
      </c>
      <c r="D159" s="1"/>
      <c r="E159" s="5"/>
      <c r="F159" s="27"/>
      <c r="G159" s="13"/>
      <c r="H159" s="29"/>
      <c r="I159" s="42"/>
      <c r="J159" s="43"/>
      <c r="K159" s="41">
        <v>7</v>
      </c>
      <c r="L159" s="23"/>
      <c r="M159" s="25" t="b">
        <v>0</v>
      </c>
      <c r="N159" s="51" t="str">
        <f t="shared" ca="1" si="6"/>
        <v/>
      </c>
      <c r="O159" s="24"/>
      <c r="P159" s="25" t="b">
        <v>0</v>
      </c>
      <c r="Q159" s="78" t="b">
        <v>0</v>
      </c>
      <c r="R159" s="81"/>
      <c r="S159" s="2"/>
      <c r="T159" s="2"/>
    </row>
    <row r="160" spans="1:20" x14ac:dyDescent="0.25">
      <c r="A160" s="36"/>
      <c r="B160" s="4" t="b">
        <v>0</v>
      </c>
      <c r="C160" s="51" t="str">
        <f t="shared" ca="1" si="7"/>
        <v/>
      </c>
      <c r="D160" s="1"/>
      <c r="E160" s="5"/>
      <c r="F160" s="27"/>
      <c r="G160" s="13"/>
      <c r="H160" s="29"/>
      <c r="I160" s="42"/>
      <c r="J160" s="43"/>
      <c r="K160" s="41">
        <v>7</v>
      </c>
      <c r="L160" s="23"/>
      <c r="M160" s="25" t="b">
        <v>0</v>
      </c>
      <c r="N160" s="51" t="str">
        <f t="shared" ca="1" si="6"/>
        <v/>
      </c>
      <c r="O160" s="24"/>
      <c r="P160" s="25" t="b">
        <v>0</v>
      </c>
      <c r="Q160" s="78" t="b">
        <v>0</v>
      </c>
      <c r="R160" s="81"/>
      <c r="S160" s="2"/>
      <c r="T160" s="2"/>
    </row>
    <row r="161" spans="1:20" x14ac:dyDescent="0.25">
      <c r="A161" s="36"/>
      <c r="B161" s="4" t="b">
        <v>0</v>
      </c>
      <c r="C161" s="51" t="str">
        <f t="shared" ca="1" si="7"/>
        <v/>
      </c>
      <c r="D161" s="1"/>
      <c r="E161" s="5"/>
      <c r="F161" s="27"/>
      <c r="G161" s="13"/>
      <c r="H161" s="29"/>
      <c r="I161" s="42"/>
      <c r="J161" s="43"/>
      <c r="K161" s="41">
        <v>7</v>
      </c>
      <c r="L161" s="23"/>
      <c r="M161" s="25" t="b">
        <v>0</v>
      </c>
      <c r="N161" s="51" t="str">
        <f t="shared" ca="1" si="6"/>
        <v/>
      </c>
      <c r="O161" s="24"/>
      <c r="P161" s="25" t="b">
        <v>0</v>
      </c>
      <c r="Q161" s="78" t="b">
        <v>0</v>
      </c>
      <c r="R161" s="81"/>
      <c r="S161" s="2"/>
      <c r="T161" s="2"/>
    </row>
    <row r="162" spans="1:20" x14ac:dyDescent="0.25">
      <c r="A162" s="36"/>
      <c r="B162" s="4" t="b">
        <v>0</v>
      </c>
      <c r="C162" s="51" t="str">
        <f t="shared" ca="1" si="7"/>
        <v/>
      </c>
      <c r="D162" s="1"/>
      <c r="E162" s="5"/>
      <c r="F162" s="27"/>
      <c r="G162" s="13"/>
      <c r="H162" s="29"/>
      <c r="I162" s="42"/>
      <c r="J162" s="43"/>
      <c r="K162" s="41">
        <v>7</v>
      </c>
      <c r="L162" s="23"/>
      <c r="M162" s="25" t="b">
        <v>0</v>
      </c>
      <c r="N162" s="51" t="str">
        <f t="shared" ca="1" si="6"/>
        <v/>
      </c>
      <c r="O162" s="24"/>
      <c r="P162" s="25" t="b">
        <v>0</v>
      </c>
      <c r="Q162" s="78" t="b">
        <v>0</v>
      </c>
      <c r="R162" s="81"/>
      <c r="S162" s="2"/>
      <c r="T162" s="2"/>
    </row>
    <row r="163" spans="1:20" x14ac:dyDescent="0.25">
      <c r="A163" s="36"/>
      <c r="B163" s="4" t="b">
        <v>0</v>
      </c>
      <c r="C163" s="51" t="str">
        <f t="shared" ca="1" si="7"/>
        <v/>
      </c>
      <c r="D163" s="1"/>
      <c r="E163" s="5"/>
      <c r="F163" s="27"/>
      <c r="G163" s="13"/>
      <c r="H163" s="29"/>
      <c r="I163" s="42"/>
      <c r="J163" s="43"/>
      <c r="K163" s="41">
        <v>7</v>
      </c>
      <c r="L163" s="23"/>
      <c r="M163" s="25" t="b">
        <v>0</v>
      </c>
      <c r="N163" s="51" t="str">
        <f t="shared" ref="N163:N194" ca="1" si="8">IF(M163=TRUE, IF(OR(N163=0, N163=""), NOW(), N163), "")</f>
        <v/>
      </c>
      <c r="O163" s="24"/>
      <c r="P163" s="25" t="b">
        <v>0</v>
      </c>
      <c r="Q163" s="78" t="b">
        <v>0</v>
      </c>
      <c r="R163" s="81"/>
      <c r="S163" s="2"/>
      <c r="T163" s="2"/>
    </row>
    <row r="164" spans="1:20" x14ac:dyDescent="0.25">
      <c r="A164" s="36"/>
      <c r="B164" s="4" t="b">
        <v>0</v>
      </c>
      <c r="C164" s="51" t="str">
        <f t="shared" ca="1" si="7"/>
        <v/>
      </c>
      <c r="D164" s="1"/>
      <c r="E164" s="5"/>
      <c r="F164" s="27"/>
      <c r="G164" s="13"/>
      <c r="H164" s="29"/>
      <c r="I164" s="42"/>
      <c r="J164" s="43"/>
      <c r="K164" s="41">
        <v>7</v>
      </c>
      <c r="L164" s="23"/>
      <c r="M164" s="25" t="b">
        <v>0</v>
      </c>
      <c r="N164" s="51" t="str">
        <f t="shared" ca="1" si="8"/>
        <v/>
      </c>
      <c r="O164" s="24"/>
      <c r="P164" s="25" t="b">
        <v>0</v>
      </c>
      <c r="Q164" s="78" t="b">
        <v>0</v>
      </c>
      <c r="R164" s="81"/>
      <c r="S164" s="2"/>
      <c r="T164" s="2"/>
    </row>
    <row r="165" spans="1:20" x14ac:dyDescent="0.25">
      <c r="A165" s="36"/>
      <c r="B165" s="4" t="b">
        <v>0</v>
      </c>
      <c r="C165" s="51" t="str">
        <f t="shared" ca="1" si="7"/>
        <v/>
      </c>
      <c r="D165" s="1"/>
      <c r="E165" s="5"/>
      <c r="F165" s="27"/>
      <c r="G165" s="13"/>
      <c r="H165" s="29"/>
      <c r="I165" s="42"/>
      <c r="J165" s="43"/>
      <c r="K165" s="41">
        <v>7</v>
      </c>
      <c r="L165" s="23"/>
      <c r="M165" s="25" t="b">
        <v>0</v>
      </c>
      <c r="N165" s="51" t="str">
        <f t="shared" ca="1" si="8"/>
        <v/>
      </c>
      <c r="O165" s="24"/>
      <c r="P165" s="25" t="b">
        <v>0</v>
      </c>
      <c r="Q165" s="78" t="b">
        <v>0</v>
      </c>
      <c r="R165" s="81"/>
      <c r="S165" s="2"/>
      <c r="T165" s="2"/>
    </row>
    <row r="166" spans="1:20" x14ac:dyDescent="0.25">
      <c r="A166" s="36"/>
    </row>
  </sheetData>
  <autoFilter ref="A1:T165" xr:uid="{00000000-0001-0000-0000-000000000000}">
    <filterColumn colId="1">
      <filters>
        <filter val="FALSE"/>
      </filters>
    </filterColumn>
    <filterColumn colId="17">
      <filters blank="1">
        <filter val="Karusel/TOS/Allh"/>
        <filter val="TOS"/>
        <filter val="TOS/ALLH"/>
      </filters>
    </filterColumn>
  </autoFilter>
  <phoneticPr fontId="12" type="noConversion"/>
  <conditionalFormatting sqref="A166">
    <cfRule type="expression" dxfId="13" priority="2">
      <formula>$B166=TRUE</formula>
    </cfRule>
  </conditionalFormatting>
  <conditionalFormatting sqref="D69:H71 D101:E101 G101:H101 D102:H105">
    <cfRule type="expression" dxfId="12" priority="12">
      <formula>$B69=TRUE</formula>
    </cfRule>
  </conditionalFormatting>
  <conditionalFormatting sqref="D3:M65 A3:B165 O3:XFD165 F66:H66 J66:M66 D66:E68 F67:M68 I69:M87 D72:F73 H72:H73 D74:H87 D88:M94 D95:H100 I95:M105 D106:M107 D108:H108 J108:M108 D109:M110 D111:H112 J111:M112 I112 D113:M122 D123:F123 H123:M123 D124:H124 J124:M124 D125:M137 D138:H138 J138:M138 D139:M142 D143:H143 J143:M143 D144:M165">
    <cfRule type="expression" dxfId="11" priority="6">
      <formula>$B3=TRUE</formula>
    </cfRule>
  </conditionalFormatting>
  <conditionalFormatting sqref="G73">
    <cfRule type="expression" dxfId="10" priority="1">
      <formula>$B73=TRUE</formula>
    </cfRule>
  </conditionalFormatting>
  <conditionalFormatting sqref="I108">
    <cfRule type="expression" dxfId="9" priority="59">
      <formula>$B138=TRUE</formula>
    </cfRule>
  </conditionalFormatting>
  <conditionalFormatting sqref="J3:J165">
    <cfRule type="expression" dxfId="8" priority="19">
      <formula>P3=TRUE</formula>
    </cfRule>
    <cfRule type="expression" dxfId="7" priority="22">
      <formula>M3=TRUE</formula>
    </cfRule>
  </conditionalFormatting>
  <conditionalFormatting sqref="J5:J165">
    <cfRule type="expression" dxfId="5" priority="15">
      <formula>ISBLANK(K5)</formula>
    </cfRule>
  </conditionalFormatting>
  <conditionalFormatting sqref="L3:L165">
    <cfRule type="expression" dxfId="4" priority="21">
      <formula>$M3=TRUE</formula>
    </cfRule>
    <cfRule type="containsBlanks" dxfId="3" priority="25">
      <formula>LEN(TRIM(L3))=0</formula>
    </cfRule>
  </conditionalFormatting>
  <hyperlinks>
    <hyperlink ref="F10" r:id="rId1" display="\\estanc\ESTANC\Projektid\2026\Q Projektid\Q26003\_2.1 Tootmis joonised\Q26003\EST-A20576_01_TUBE WELDING TEST PLATE.pdf" xr:uid="{B1E365FD-9598-4CF3-9B2A-03C08753EC4C}"/>
    <hyperlink ref="I82" r:id="rId2" display="\\estanc\ESTANC\Projektid\2025\W25036 Friotherm, Heat exchangers, Vessel, Piping, Celsio HPU\_1 Projekti info\_Ajakava\W25036_Friotherm_plaan_rev00.xlsx" xr:uid="{AF6B7F24-5AEA-42F4-A6B0-C665EF128AEC}"/>
    <hyperlink ref="I86" r:id="rId3" display="\\estanc\ESTANC\Projektid\2025\W25036 Friotherm, Heat exchangers, Vessel, Piping, Celsio HPU\_1 Projekti info\_Ajakava\W25036_Friotherm_plaan_rev00.xlsx" xr:uid="{4776142D-6567-4317-B18C-342E53873D86}"/>
    <hyperlink ref="I85" r:id="rId4" display="\\estanc\ESTANC\Projektid\2025\W25036 Friotherm, Heat exchangers, Vessel, Piping, Celsio HPU\_1 Projekti info\_Ajakava\W25036_Friotherm_plaan_rev00.xlsx" xr:uid="{FE87C16D-CD4F-4274-969C-F8F90A75B1A8}"/>
    <hyperlink ref="I81" r:id="rId5" display="\\estanc\ESTANC\Projektid\2025\W25036 Friotherm, Heat exchangers, Vessel, Piping, Celsio HPU\_1 Projekti info\_Ajakava\W25036_Friotherm_plaan_rev00.xlsx" xr:uid="{6A3D7BCF-3CBE-407F-B274-761C6A2E5755}"/>
    <hyperlink ref="I84" r:id="rId6" display="\\estanc\ESTANC\Projektid\2025\W25036 Friotherm, Heat exchangers, Vessel, Piping, Celsio HPU\_1 Projekti info\_Ajakava\W25036_Friotherm_plaan_rev00.xlsx" xr:uid="{6140147C-C99E-4019-B43D-4DF21726A979}"/>
    <hyperlink ref="I83" r:id="rId7" display="\\estanc\ESTANC\Projektid\2025\W25036 Friotherm, Heat exchangers, Vessel, Piping, Celsio HPU\_1 Projekti info\_Ajakava\W25036_Friotherm_plaan_rev00.xlsx" xr:uid="{D48E68DD-B146-459E-95E7-73D21F563267}"/>
    <hyperlink ref="I122" r:id="rId8" display="&quot;\\estanc\ESTANC\Projektid\2025\W25036 Friotherm, Heat exchangers, Vessel, Piping, Celsio HPU\_1 Projekti info\_Ajakava\W25036_Friotherm_plaan_rev00.xlsx&quot;" xr:uid="{9B940515-DA59-441C-8226-63F05702E1B0}"/>
  </hyperlinks>
  <pageMargins left="0.7" right="0.7" top="0.75" bottom="0.75" header="0.3" footer="0.3"/>
  <pageSetup orientation="portrait" r:id="rId9"/>
  <legacyDrawing r:id="rId1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7" id="{13CFBBAB-E164-4A5A-9373-4AAA5A631018}">
            <xm:f>(J3-Tehniline!$A$1)&lt;K3</xm:f>
            <x14:dxf>
              <font>
                <b/>
                <i val="0"/>
                <color rgb="FFFF0000"/>
              </font>
              <fill>
                <patternFill patternType="none">
                  <bgColor auto="1"/>
                </patternFill>
              </fill>
            </x14:dxf>
          </x14:cfRule>
          <xm:sqref>J3:J165</xm:sqref>
        </x14:conditionalFormatting>
        <x14:conditionalFormatting xmlns:xm="http://schemas.microsoft.com/office/excel/2006/main">
          <x14:cfRule type="expression" priority="26" id="{703039A0-4352-48EC-B619-7238354151CD}">
            <xm:f>L3&lt;Tehniline!$A$1</xm:f>
            <x14:dxf>
              <fill>
                <patternFill>
                  <bgColor theme="5" tint="0.59996337778862885"/>
                </patternFill>
              </fill>
            </x14:dxf>
          </x14:cfRule>
          <xm:sqref>L3:L165</xm:sqref>
        </x14:conditionalFormatting>
        <x14:conditionalFormatting xmlns:xm="http://schemas.microsoft.com/office/excel/2006/main">
          <x14:cfRule type="expression" priority="7" id="{1BD62C0C-1D8A-4AE2-94C4-5F293700C06B}">
            <xm:f>Tehniline!$A$1&gt;O28</xm:f>
            <x14:dxf>
              <font>
                <b/>
                <i val="0"/>
                <color rgb="FFFF0000"/>
              </font>
            </x14:dxf>
          </x14:cfRule>
          <xm:sqref>O28</xm:sqref>
        </x14:conditionalFormatting>
        <x14:conditionalFormatting xmlns:xm="http://schemas.microsoft.com/office/excel/2006/main">
          <x14:cfRule type="expression" priority="8" id="{58F717B2-FDDB-4DE7-A678-250D1A95E927}">
            <xm:f>Tehniline!$A$1&gt;I3</xm:f>
            <x14:dxf>
              <font>
                <b/>
                <i val="0"/>
                <color rgb="FFFF0000"/>
              </font>
            </x14:dxf>
          </x14:cfRule>
          <xm:sqref>S3:S165 I5:I110 O25:O26 I112:I165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8B9A05-F87B-4AEF-9FAE-633F5E8DD169}">
          <x14:formula1>
            <xm:f>Tehniline!$A$5:$A$34</xm:f>
          </x14:formula1>
          <xm:sqref>K3:K165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36FB4-70FE-462E-881F-39EA53D42383}">
  <sheetPr codeName="Sheet2"/>
  <dimension ref="A1:C28"/>
  <sheetViews>
    <sheetView workbookViewId="0">
      <selection activeCell="B31" sqref="B31"/>
    </sheetView>
  </sheetViews>
  <sheetFormatPr defaultRowHeight="15" x14ac:dyDescent="0.25"/>
  <cols>
    <col min="1" max="1" width="40.85546875" style="7" bestFit="1" customWidth="1"/>
    <col min="2" max="2" width="84.7109375" bestFit="1" customWidth="1"/>
    <col min="3" max="3" width="53.42578125" bestFit="1" customWidth="1"/>
  </cols>
  <sheetData>
    <row r="1" spans="1:3" x14ac:dyDescent="0.25">
      <c r="A1" s="8" t="s">
        <v>0</v>
      </c>
      <c r="B1" s="9" t="s">
        <v>166</v>
      </c>
      <c r="C1" s="10" t="s">
        <v>167</v>
      </c>
    </row>
    <row r="2" spans="1:3" x14ac:dyDescent="0.25">
      <c r="A2" s="11" t="s">
        <v>1</v>
      </c>
      <c r="B2" s="5" t="s">
        <v>168</v>
      </c>
      <c r="C2" s="12" t="s">
        <v>169</v>
      </c>
    </row>
    <row r="3" spans="1:3" x14ac:dyDescent="0.25">
      <c r="A3" s="11" t="s">
        <v>3</v>
      </c>
      <c r="B3" s="5" t="s">
        <v>170</v>
      </c>
      <c r="C3" s="12" t="s">
        <v>171</v>
      </c>
    </row>
    <row r="4" spans="1:3" x14ac:dyDescent="0.25">
      <c r="A4" s="11" t="s">
        <v>4</v>
      </c>
      <c r="B4" s="5" t="s">
        <v>172</v>
      </c>
      <c r="C4" s="12" t="s">
        <v>171</v>
      </c>
    </row>
    <row r="5" spans="1:3" x14ac:dyDescent="0.25">
      <c r="A5" s="11" t="s">
        <v>5</v>
      </c>
      <c r="B5" s="5" t="s">
        <v>173</v>
      </c>
      <c r="C5" s="12" t="s">
        <v>171</v>
      </c>
    </row>
    <row r="6" spans="1:3" x14ac:dyDescent="0.25">
      <c r="A6" s="11" t="s">
        <v>174</v>
      </c>
      <c r="B6" s="5" t="s">
        <v>175</v>
      </c>
      <c r="C6" s="12" t="s">
        <v>176</v>
      </c>
    </row>
    <row r="7" spans="1:3" x14ac:dyDescent="0.25">
      <c r="A7" s="11" t="s">
        <v>177</v>
      </c>
      <c r="B7" s="5" t="s">
        <v>178</v>
      </c>
      <c r="C7" s="12" t="s">
        <v>176</v>
      </c>
    </row>
    <row r="8" spans="1:3" x14ac:dyDescent="0.25">
      <c r="A8" s="11" t="s">
        <v>8</v>
      </c>
      <c r="B8" s="5" t="s">
        <v>179</v>
      </c>
      <c r="C8" s="12" t="s">
        <v>176</v>
      </c>
    </row>
    <row r="9" spans="1:3" x14ac:dyDescent="0.25">
      <c r="A9" s="11" t="s">
        <v>180</v>
      </c>
      <c r="B9" s="5" t="s">
        <v>181</v>
      </c>
      <c r="C9" s="12" t="s">
        <v>182</v>
      </c>
    </row>
    <row r="10" spans="1:3" x14ac:dyDescent="0.25">
      <c r="A10" s="11" t="s">
        <v>10</v>
      </c>
      <c r="B10" s="5" t="s">
        <v>183</v>
      </c>
      <c r="C10" s="12" t="s">
        <v>20</v>
      </c>
    </row>
    <row r="11" spans="1:3" x14ac:dyDescent="0.25">
      <c r="A11" s="11" t="s">
        <v>11</v>
      </c>
      <c r="B11" s="5" t="s">
        <v>184</v>
      </c>
      <c r="C11" s="12" t="s">
        <v>185</v>
      </c>
    </row>
    <row r="12" spans="1:3" x14ac:dyDescent="0.25">
      <c r="A12" s="11" t="s">
        <v>12</v>
      </c>
      <c r="B12" s="5" t="s">
        <v>186</v>
      </c>
      <c r="C12" s="12" t="s">
        <v>20</v>
      </c>
    </row>
    <row r="13" spans="1:3" x14ac:dyDescent="0.25">
      <c r="A13" s="11" t="s">
        <v>14</v>
      </c>
      <c r="B13" s="5" t="s">
        <v>187</v>
      </c>
      <c r="C13" s="12" t="s">
        <v>185</v>
      </c>
    </row>
    <row r="14" spans="1:3" x14ac:dyDescent="0.25">
      <c r="A14" s="11" t="s">
        <v>188</v>
      </c>
      <c r="B14" s="5" t="s">
        <v>189</v>
      </c>
      <c r="C14" s="12" t="s">
        <v>20</v>
      </c>
    </row>
    <row r="15" spans="1:3" x14ac:dyDescent="0.25">
      <c r="A15" s="11" t="s">
        <v>16</v>
      </c>
      <c r="B15" s="5" t="s">
        <v>190</v>
      </c>
      <c r="C15" s="12" t="s">
        <v>191</v>
      </c>
    </row>
    <row r="16" spans="1:3" x14ac:dyDescent="0.25">
      <c r="A16" s="11" t="s">
        <v>17</v>
      </c>
      <c r="B16" s="5" t="s">
        <v>192</v>
      </c>
      <c r="C16" s="12" t="s">
        <v>193</v>
      </c>
    </row>
    <row r="17" spans="1:3" x14ac:dyDescent="0.25">
      <c r="A17" s="11" t="s">
        <v>18</v>
      </c>
      <c r="B17" s="5" t="s">
        <v>192</v>
      </c>
      <c r="C17" s="12" t="s">
        <v>193</v>
      </c>
    </row>
    <row r="18" spans="1:3" x14ac:dyDescent="0.25">
      <c r="A18" s="13"/>
      <c r="B18" s="5"/>
      <c r="C18" s="12"/>
    </row>
    <row r="19" spans="1:3" x14ac:dyDescent="0.25">
      <c r="A19" s="13"/>
      <c r="B19" s="5"/>
      <c r="C19" s="12"/>
    </row>
    <row r="20" spans="1:3" x14ac:dyDescent="0.25">
      <c r="A20" s="13"/>
      <c r="B20" s="5"/>
      <c r="C20" s="12"/>
    </row>
    <row r="21" spans="1:3" x14ac:dyDescent="0.25">
      <c r="A21" s="13"/>
      <c r="B21" s="5"/>
      <c r="C21" s="12"/>
    </row>
    <row r="22" spans="1:3" x14ac:dyDescent="0.25">
      <c r="A22" s="13"/>
      <c r="B22" s="5"/>
      <c r="C22" s="12"/>
    </row>
    <row r="23" spans="1:3" x14ac:dyDescent="0.25">
      <c r="A23" s="13"/>
      <c r="B23" s="5"/>
      <c r="C23" s="12"/>
    </row>
    <row r="24" spans="1:3" ht="15.75" thickBot="1" x14ac:dyDescent="0.3">
      <c r="A24" s="14"/>
      <c r="B24" s="15"/>
      <c r="C24" s="16"/>
    </row>
    <row r="28" spans="1:3" x14ac:dyDescent="0.25">
      <c r="A28" s="17" t="s">
        <v>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F019-1612-4753-B12C-1EB34DFAD229}">
  <sheetPr codeName="Sheet3"/>
  <dimension ref="A1:A34"/>
  <sheetViews>
    <sheetView workbookViewId="0">
      <selection activeCell="I33" sqref="I33"/>
    </sheetView>
  </sheetViews>
  <sheetFormatPr defaultRowHeight="15" x14ac:dyDescent="0.25"/>
  <cols>
    <col min="1" max="1" width="10.140625" bestFit="1" customWidth="1"/>
  </cols>
  <sheetData>
    <row r="1" spans="1:1" x14ac:dyDescent="0.25">
      <c r="A1" s="18">
        <f ca="1">TODAY()</f>
        <v>46135</v>
      </c>
    </row>
    <row r="3" spans="1:1" x14ac:dyDescent="0.25">
      <c r="A3" t="s">
        <v>9</v>
      </c>
    </row>
    <row r="4" spans="1:1" x14ac:dyDescent="0.25">
      <c r="A4" t="s">
        <v>195</v>
      </c>
    </row>
    <row r="5" spans="1:1" x14ac:dyDescent="0.25">
      <c r="A5">
        <v>1</v>
      </c>
    </row>
    <row r="6" spans="1:1" x14ac:dyDescent="0.25">
      <c r="A6">
        <v>2</v>
      </c>
    </row>
    <row r="7" spans="1:1" x14ac:dyDescent="0.25">
      <c r="A7">
        <v>3</v>
      </c>
    </row>
    <row r="8" spans="1:1" x14ac:dyDescent="0.25">
      <c r="A8">
        <v>4</v>
      </c>
    </row>
    <row r="9" spans="1:1" x14ac:dyDescent="0.25">
      <c r="A9">
        <v>5</v>
      </c>
    </row>
    <row r="10" spans="1:1" x14ac:dyDescent="0.25">
      <c r="A10">
        <v>6</v>
      </c>
    </row>
    <row r="11" spans="1:1" x14ac:dyDescent="0.25">
      <c r="A11">
        <v>7</v>
      </c>
    </row>
    <row r="12" spans="1:1" x14ac:dyDescent="0.25">
      <c r="A12">
        <v>8</v>
      </c>
    </row>
    <row r="13" spans="1:1" x14ac:dyDescent="0.25">
      <c r="A13">
        <v>9</v>
      </c>
    </row>
    <row r="14" spans="1:1" x14ac:dyDescent="0.25">
      <c r="A14">
        <v>10</v>
      </c>
    </row>
    <row r="15" spans="1:1" x14ac:dyDescent="0.25">
      <c r="A15">
        <v>11</v>
      </c>
    </row>
    <row r="16" spans="1:1" x14ac:dyDescent="0.25">
      <c r="A16">
        <v>12</v>
      </c>
    </row>
    <row r="17" spans="1:1" x14ac:dyDescent="0.25">
      <c r="A17">
        <v>13</v>
      </c>
    </row>
    <row r="18" spans="1:1" x14ac:dyDescent="0.25">
      <c r="A18">
        <v>14</v>
      </c>
    </row>
    <row r="19" spans="1:1" x14ac:dyDescent="0.25">
      <c r="A19">
        <v>15</v>
      </c>
    </row>
    <row r="20" spans="1:1" x14ac:dyDescent="0.25">
      <c r="A20">
        <v>16</v>
      </c>
    </row>
    <row r="21" spans="1:1" x14ac:dyDescent="0.25">
      <c r="A21">
        <v>17</v>
      </c>
    </row>
    <row r="22" spans="1:1" x14ac:dyDescent="0.25">
      <c r="A22">
        <v>18</v>
      </c>
    </row>
    <row r="23" spans="1:1" x14ac:dyDescent="0.25">
      <c r="A23">
        <v>19</v>
      </c>
    </row>
    <row r="24" spans="1:1" x14ac:dyDescent="0.25">
      <c r="A24">
        <v>20</v>
      </c>
    </row>
    <row r="25" spans="1:1" x14ac:dyDescent="0.25">
      <c r="A25">
        <v>21</v>
      </c>
    </row>
    <row r="26" spans="1:1" x14ac:dyDescent="0.25">
      <c r="A26">
        <v>22</v>
      </c>
    </row>
    <row r="27" spans="1:1" x14ac:dyDescent="0.25">
      <c r="A27">
        <v>23</v>
      </c>
    </row>
    <row r="28" spans="1:1" x14ac:dyDescent="0.25">
      <c r="A28">
        <v>24</v>
      </c>
    </row>
    <row r="29" spans="1:1" x14ac:dyDescent="0.25">
      <c r="A29">
        <v>25</v>
      </c>
    </row>
    <row r="30" spans="1:1" x14ac:dyDescent="0.25">
      <c r="A30">
        <v>26</v>
      </c>
    </row>
    <row r="31" spans="1:1" x14ac:dyDescent="0.25">
      <c r="A31">
        <v>27</v>
      </c>
    </row>
    <row r="32" spans="1:1" x14ac:dyDescent="0.25">
      <c r="A32">
        <v>28</v>
      </c>
    </row>
    <row r="33" spans="1:1" x14ac:dyDescent="0.25">
      <c r="A33">
        <v>29</v>
      </c>
    </row>
    <row r="34" spans="1:1" x14ac:dyDescent="0.25">
      <c r="A3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</vt:lpstr>
      <vt:lpstr>Legend</vt:lpstr>
      <vt:lpstr>Tehniline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Alik Gerasimjak - Estanc</dc:creator>
  <cp:keywords/>
  <dc:description/>
  <cp:lastModifiedBy>Roman Hanmamedov - Estanc</cp:lastModifiedBy>
  <cp:revision/>
  <dcterms:created xsi:type="dcterms:W3CDTF">2015-06-05T18:17:20Z</dcterms:created>
  <dcterms:modified xsi:type="dcterms:W3CDTF">2026-04-23T10:37:23Z</dcterms:modified>
  <cp:category/>
  <cp:contentStatus/>
</cp:coreProperties>
</file>